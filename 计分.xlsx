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fe\board_game\project_six_dynasty\"/>
    </mc:Choice>
  </mc:AlternateContent>
  <xr:revisionPtr revIDLastSave="0" documentId="13_ncr:1_{B771923D-0E4A-42A4-AAD3-30B736AA9A25}" xr6:coauthVersionLast="47" xr6:coauthVersionMax="47" xr10:uidLastSave="{00000000-0000-0000-0000-000000000000}"/>
  <bookViews>
    <workbookView xWindow="-110" yWindow="-110" windowWidth="25820" windowHeight="15500" xr2:uid="{8AF991C0-2FFC-4B9D-8DFA-610AA56EBD09}"/>
  </bookViews>
  <sheets>
    <sheet name="0516_g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3" i="1" l="1"/>
  <c r="P12" i="1"/>
  <c r="P11" i="1"/>
  <c r="P9" i="1"/>
  <c r="N13" i="1"/>
  <c r="N12" i="1"/>
  <c r="N11" i="1"/>
  <c r="L10" i="1"/>
  <c r="P6" i="1"/>
  <c r="P5" i="1"/>
  <c r="P4" i="1"/>
  <c r="P2" i="1"/>
  <c r="N5" i="1"/>
  <c r="N6" i="1"/>
  <c r="N4" i="1"/>
  <c r="L3" i="1"/>
</calcChain>
</file>

<file path=xl/sharedStrings.xml><?xml version="1.0" encoding="utf-8"?>
<sst xmlns="http://schemas.openxmlformats.org/spreadsheetml/2006/main" count="28" uniqueCount="27">
  <si>
    <t>计分</t>
    <phoneticPr fontId="1" type="noConversion"/>
  </si>
  <si>
    <t>黑色/慕容</t>
    <phoneticPr fontId="1" type="noConversion"/>
  </si>
  <si>
    <t>红色/司马</t>
    <phoneticPr fontId="1" type="noConversion"/>
  </si>
  <si>
    <t>蓝色/张轨</t>
    <phoneticPr fontId="1" type="noConversion"/>
  </si>
  <si>
    <t>绿色/祖逖</t>
    <phoneticPr fontId="1" type="noConversion"/>
  </si>
  <si>
    <t>紫色/谢安</t>
    <phoneticPr fontId="1" type="noConversion"/>
  </si>
  <si>
    <t>文化轨道</t>
    <phoneticPr fontId="1" type="noConversion"/>
  </si>
  <si>
    <t>儒学等级</t>
    <phoneticPr fontId="1" type="noConversion"/>
  </si>
  <si>
    <t>佛学</t>
    <phoneticPr fontId="1" type="noConversion"/>
  </si>
  <si>
    <t>玄学</t>
    <phoneticPr fontId="1" type="noConversion"/>
  </si>
  <si>
    <t>儒学vp</t>
    <phoneticPr fontId="1" type="noConversion"/>
  </si>
  <si>
    <t>佛学vp</t>
    <phoneticPr fontId="1" type="noConversion"/>
  </si>
  <si>
    <t>玄学vp</t>
    <phoneticPr fontId="1" type="noConversion"/>
  </si>
  <si>
    <t>区控</t>
    <phoneticPr fontId="1" type="noConversion"/>
  </si>
  <si>
    <t>部队</t>
    <phoneticPr fontId="1" type="noConversion"/>
  </si>
  <si>
    <t>存档</t>
    <phoneticPr fontId="1" type="noConversion"/>
  </si>
  <si>
    <t>司马家vp</t>
    <phoneticPr fontId="1" type="noConversion"/>
  </si>
  <si>
    <t>vp条</t>
    <phoneticPr fontId="1" type="noConversion"/>
  </si>
  <si>
    <t>系数</t>
    <phoneticPr fontId="1" type="noConversion"/>
  </si>
  <si>
    <t>司马家贡献分</t>
    <phoneticPr fontId="1" type="noConversion"/>
  </si>
  <si>
    <t>秘密</t>
    <phoneticPr fontId="1" type="noConversion"/>
  </si>
  <si>
    <t>sum</t>
    <phoneticPr fontId="1" type="noConversion"/>
  </si>
  <si>
    <t>V0.1_0517</t>
    <phoneticPr fontId="1" type="noConversion"/>
  </si>
  <si>
    <t>黑色/苻坚</t>
    <phoneticPr fontId="1" type="noConversion"/>
  </si>
  <si>
    <t>蓝色/周杞</t>
    <phoneticPr fontId="1" type="noConversion"/>
  </si>
  <si>
    <t>绿色/刘裕</t>
    <phoneticPr fontId="1" type="noConversion"/>
  </si>
  <si>
    <t>紫色/王导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</si>
</sst>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7ED8-6937-492E-8350-3FCD992CF871}">
  <dimension ref="A1:P13"/>
  <sheetViews>
    <sheetView tabSelected="1" zoomScale="150" zoomScaleNormal="15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H10" sqref="H10"/>
    </sheetView>
  </sheetViews>
  <sheetFormatPr defaultRowHeight="14" x14ac:dyDescent="0.3"/>
  <sheetData>
    <row r="1" spans="1:1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17</v>
      </c>
      <c r="L1" t="s">
        <v>16</v>
      </c>
      <c r="M1" t="s">
        <v>18</v>
      </c>
      <c r="N1" t="s">
        <v>19</v>
      </c>
      <c r="O1" t="s">
        <v>20</v>
      </c>
      <c r="P1" t="s">
        <v>21</v>
      </c>
    </row>
    <row r="2" spans="1:16" x14ac:dyDescent="0.3">
      <c r="A2" t="s">
        <v>1</v>
      </c>
      <c r="B2">
        <v>2</v>
      </c>
      <c r="E2">
        <v>12</v>
      </c>
      <c r="H2">
        <v>13</v>
      </c>
      <c r="I2">
        <v>10</v>
      </c>
      <c r="J2">
        <v>0</v>
      </c>
      <c r="K2">
        <v>121</v>
      </c>
      <c r="P2">
        <f>SUM(B2:O2)</f>
        <v>158</v>
      </c>
    </row>
    <row r="3" spans="1:16" x14ac:dyDescent="0.3">
      <c r="A3" t="s">
        <v>2</v>
      </c>
      <c r="H3">
        <v>15</v>
      </c>
      <c r="I3">
        <v>6</v>
      </c>
      <c r="K3">
        <v>126</v>
      </c>
      <c r="L3">
        <f>SUM(H3:K3)</f>
        <v>147</v>
      </c>
    </row>
    <row r="4" spans="1:16" x14ac:dyDescent="0.3">
      <c r="A4" t="s">
        <v>3</v>
      </c>
      <c r="B4">
        <v>1</v>
      </c>
      <c r="C4">
        <v>1</v>
      </c>
      <c r="E4">
        <v>6</v>
      </c>
      <c r="F4">
        <v>9</v>
      </c>
      <c r="H4">
        <v>9</v>
      </c>
      <c r="I4">
        <v>5</v>
      </c>
      <c r="J4">
        <v>43</v>
      </c>
      <c r="K4">
        <v>66</v>
      </c>
      <c r="M4">
        <v>2</v>
      </c>
      <c r="N4">
        <f>CEILING(L$3/10,1)*M4</f>
        <v>30</v>
      </c>
      <c r="O4">
        <v>7</v>
      </c>
      <c r="P4">
        <f t="shared" ref="P4:P6" si="0">SUM(B4:O4)</f>
        <v>179</v>
      </c>
    </row>
    <row r="5" spans="1:16" x14ac:dyDescent="0.3">
      <c r="A5" t="s">
        <v>4</v>
      </c>
      <c r="B5">
        <v>1</v>
      </c>
      <c r="C5">
        <v>1</v>
      </c>
      <c r="D5">
        <v>1</v>
      </c>
      <c r="E5">
        <v>6</v>
      </c>
      <c r="F5">
        <v>9</v>
      </c>
      <c r="G5">
        <v>9</v>
      </c>
      <c r="H5">
        <v>5</v>
      </c>
      <c r="I5">
        <v>4</v>
      </c>
      <c r="J5">
        <v>10</v>
      </c>
      <c r="K5">
        <v>66</v>
      </c>
      <c r="M5">
        <v>5</v>
      </c>
      <c r="N5">
        <f t="shared" ref="N5:N6" si="1">CEILING(L$3/10,1)*M5</f>
        <v>75</v>
      </c>
      <c r="O5">
        <v>12</v>
      </c>
      <c r="P5">
        <f t="shared" si="0"/>
        <v>204</v>
      </c>
    </row>
    <row r="6" spans="1:16" x14ac:dyDescent="0.3">
      <c r="A6" t="s">
        <v>5</v>
      </c>
      <c r="C6">
        <v>3</v>
      </c>
      <c r="F6">
        <v>18</v>
      </c>
      <c r="H6">
        <v>4</v>
      </c>
      <c r="I6">
        <v>5</v>
      </c>
      <c r="J6">
        <v>8</v>
      </c>
      <c r="K6">
        <v>51</v>
      </c>
      <c r="M6">
        <v>5</v>
      </c>
      <c r="N6">
        <f t="shared" si="1"/>
        <v>75</v>
      </c>
      <c r="O6">
        <v>15</v>
      </c>
      <c r="P6">
        <f t="shared" si="0"/>
        <v>184</v>
      </c>
    </row>
    <row r="7" spans="1:16" x14ac:dyDescent="0.3">
      <c r="B7" t="s">
        <v>6</v>
      </c>
    </row>
    <row r="8" spans="1:16" x14ac:dyDescent="0.3">
      <c r="A8" t="s">
        <v>22</v>
      </c>
    </row>
    <row r="9" spans="1:16" x14ac:dyDescent="0.3">
      <c r="A9" t="s">
        <v>23</v>
      </c>
      <c r="C9">
        <v>1</v>
      </c>
      <c r="F9">
        <v>9</v>
      </c>
      <c r="H9">
        <v>7</v>
      </c>
      <c r="I9">
        <v>6</v>
      </c>
      <c r="J9">
        <v>15</v>
      </c>
      <c r="K9">
        <v>105</v>
      </c>
      <c r="P9">
        <f t="shared" ref="P9:P13" si="2">SUM(B9:O9)</f>
        <v>143</v>
      </c>
    </row>
    <row r="10" spans="1:16" x14ac:dyDescent="0.3">
      <c r="A10" t="s">
        <v>2</v>
      </c>
      <c r="H10">
        <v>15</v>
      </c>
      <c r="I10">
        <v>5</v>
      </c>
      <c r="K10">
        <v>60</v>
      </c>
      <c r="L10">
        <f>SUM(H10:K10)</f>
        <v>80</v>
      </c>
    </row>
    <row r="11" spans="1:16" x14ac:dyDescent="0.3">
      <c r="A11" t="s">
        <v>24</v>
      </c>
      <c r="B11">
        <v>1</v>
      </c>
      <c r="E11">
        <v>12</v>
      </c>
      <c r="H11">
        <v>3</v>
      </c>
      <c r="I11">
        <v>3</v>
      </c>
      <c r="J11">
        <v>0</v>
      </c>
      <c r="K11">
        <v>56</v>
      </c>
      <c r="M11">
        <v>4</v>
      </c>
      <c r="N11">
        <f>CEILING(L$10/10,1)*M11</f>
        <v>32</v>
      </c>
      <c r="O11">
        <v>16</v>
      </c>
      <c r="P11">
        <f t="shared" si="2"/>
        <v>127</v>
      </c>
    </row>
    <row r="12" spans="1:16" x14ac:dyDescent="0.3">
      <c r="A12" t="s">
        <v>25</v>
      </c>
      <c r="B12">
        <v>1</v>
      </c>
      <c r="D12">
        <v>1</v>
      </c>
      <c r="E12">
        <v>12</v>
      </c>
      <c r="G12">
        <v>12</v>
      </c>
      <c r="H12">
        <v>8</v>
      </c>
      <c r="I12">
        <v>6</v>
      </c>
      <c r="J12">
        <v>3</v>
      </c>
      <c r="K12">
        <v>50</v>
      </c>
      <c r="M12">
        <v>4</v>
      </c>
      <c r="N12">
        <f t="shared" ref="N12:N13" si="3">CEILING(L$10/10,1)*M12</f>
        <v>32</v>
      </c>
      <c r="O12">
        <v>22</v>
      </c>
      <c r="P12">
        <f t="shared" si="2"/>
        <v>151</v>
      </c>
    </row>
    <row r="13" spans="1:16" x14ac:dyDescent="0.3">
      <c r="A13" t="s">
        <v>26</v>
      </c>
      <c r="D13">
        <v>1</v>
      </c>
      <c r="G13">
        <v>12</v>
      </c>
      <c r="H13">
        <v>2</v>
      </c>
      <c r="I13">
        <v>3</v>
      </c>
      <c r="J13">
        <v>32</v>
      </c>
      <c r="K13">
        <v>43</v>
      </c>
      <c r="M13">
        <v>4</v>
      </c>
      <c r="N13">
        <f t="shared" si="3"/>
        <v>32</v>
      </c>
      <c r="O13">
        <v>25</v>
      </c>
      <c r="P13">
        <f t="shared" si="2"/>
        <v>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0516_game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Zijie Li</dc:creator>
  <cp:lastModifiedBy>Zijie Li</cp:lastModifiedBy>
  <dcterms:created xsi:type="dcterms:W3CDTF">2026-05-16T01:57:30Z</dcterms:created>
  <dcterms:modified xsi:type="dcterms:W3CDTF">2026-05-18T00:21:04Z</dcterms:modified>
</cp:coreProperties>
</file>