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life\board_game\project_six_dynasty\"/>
    </mc:Choice>
  </mc:AlternateContent>
  <xr:revisionPtr revIDLastSave="0" documentId="13_ncr:1_{86185E70-9A6D-4C72-B47C-628D2EBB7EDE}" xr6:coauthVersionLast="47" xr6:coauthVersionMax="47" xr10:uidLastSave="{00000000-0000-0000-0000-000000000000}"/>
  <bookViews>
    <workbookView xWindow="-110" yWindow="-110" windowWidth="25820" windowHeight="15500" xr2:uid="{8AF991C0-2FFC-4B9D-8DFA-610AA56EBD09}"/>
  </bookViews>
  <sheets>
    <sheet name="0516_gam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55" i="1" l="1"/>
  <c r="P54" i="1"/>
  <c r="P53" i="1"/>
  <c r="P51" i="1"/>
  <c r="N55" i="1"/>
  <c r="N54" i="1"/>
  <c r="N53" i="1"/>
  <c r="L52" i="1"/>
  <c r="N20" i="1"/>
  <c r="N19" i="1"/>
  <c r="N18" i="1"/>
  <c r="N27" i="1"/>
  <c r="N26" i="1"/>
  <c r="N25" i="1"/>
  <c r="N34" i="1"/>
  <c r="N33" i="1"/>
  <c r="N32" i="1"/>
  <c r="N41" i="1"/>
  <c r="N40" i="1"/>
  <c r="N39" i="1"/>
  <c r="N48" i="1"/>
  <c r="P48" i="1" s="1"/>
  <c r="N47" i="1"/>
  <c r="P47" i="1" s="1"/>
  <c r="N46" i="1"/>
  <c r="P46" i="1" s="1"/>
  <c r="P44" i="1"/>
  <c r="L45" i="1"/>
  <c r="P41" i="1" l="1"/>
  <c r="P40" i="1"/>
  <c r="P39" i="1"/>
  <c r="P37" i="1"/>
  <c r="L38" i="1"/>
  <c r="P27" i="1" l="1"/>
  <c r="P26" i="1"/>
  <c r="P25" i="1"/>
  <c r="P23" i="1"/>
  <c r="P20" i="1"/>
  <c r="P19" i="1"/>
  <c r="P18" i="1"/>
  <c r="P16" i="1"/>
  <c r="P9" i="1"/>
  <c r="P13" i="1"/>
  <c r="P12" i="1"/>
  <c r="P11" i="1"/>
  <c r="P6" i="1"/>
  <c r="P5" i="1"/>
  <c r="P4" i="1"/>
  <c r="P2" i="1"/>
  <c r="P34" i="1"/>
  <c r="P33" i="1"/>
  <c r="P30" i="1"/>
  <c r="P32" i="1"/>
  <c r="L31" i="1"/>
  <c r="L24" i="1"/>
  <c r="L17" i="1"/>
  <c r="L10" i="1"/>
  <c r="N12" i="1" s="1"/>
  <c r="L3" i="1"/>
  <c r="N5" i="1" s="1"/>
  <c r="N13" i="1" l="1"/>
  <c r="N6" i="1"/>
  <c r="N4" i="1"/>
</calcChain>
</file>

<file path=xl/sharedStrings.xml><?xml version="1.0" encoding="utf-8"?>
<sst xmlns="http://schemas.openxmlformats.org/spreadsheetml/2006/main" count="70" uniqueCount="54">
  <si>
    <t>计分</t>
    <phoneticPr fontId="1" type="noConversion"/>
  </si>
  <si>
    <t>黑色/慕容</t>
    <phoneticPr fontId="1" type="noConversion"/>
  </si>
  <si>
    <t>红色/司马</t>
    <phoneticPr fontId="1" type="noConversion"/>
  </si>
  <si>
    <t>蓝色/张轨</t>
    <phoneticPr fontId="1" type="noConversion"/>
  </si>
  <si>
    <t>绿色/祖逖</t>
    <phoneticPr fontId="1" type="noConversion"/>
  </si>
  <si>
    <t>紫色/谢安</t>
    <phoneticPr fontId="1" type="noConversion"/>
  </si>
  <si>
    <t>文化轨道</t>
    <phoneticPr fontId="1" type="noConversion"/>
  </si>
  <si>
    <t>儒学等级</t>
    <phoneticPr fontId="1" type="noConversion"/>
  </si>
  <si>
    <t>佛学</t>
    <phoneticPr fontId="1" type="noConversion"/>
  </si>
  <si>
    <t>玄学</t>
    <phoneticPr fontId="1" type="noConversion"/>
  </si>
  <si>
    <t>儒学vp</t>
    <phoneticPr fontId="1" type="noConversion"/>
  </si>
  <si>
    <t>佛学vp</t>
    <phoneticPr fontId="1" type="noConversion"/>
  </si>
  <si>
    <t>玄学vp</t>
    <phoneticPr fontId="1" type="noConversion"/>
  </si>
  <si>
    <t>区控</t>
    <phoneticPr fontId="1" type="noConversion"/>
  </si>
  <si>
    <t>部队</t>
    <phoneticPr fontId="1" type="noConversion"/>
  </si>
  <si>
    <t>存档</t>
    <phoneticPr fontId="1" type="noConversion"/>
  </si>
  <si>
    <t>司马家vp</t>
    <phoneticPr fontId="1" type="noConversion"/>
  </si>
  <si>
    <t>vp条</t>
    <phoneticPr fontId="1" type="noConversion"/>
  </si>
  <si>
    <t>系数</t>
    <phoneticPr fontId="1" type="noConversion"/>
  </si>
  <si>
    <t>司马家贡献分</t>
    <phoneticPr fontId="1" type="noConversion"/>
  </si>
  <si>
    <t>秘密</t>
    <phoneticPr fontId="1" type="noConversion"/>
  </si>
  <si>
    <t>sum</t>
    <phoneticPr fontId="1" type="noConversion"/>
  </si>
  <si>
    <t>V0.1_0517</t>
    <phoneticPr fontId="1" type="noConversion"/>
  </si>
  <si>
    <t>黑色/苻坚</t>
    <phoneticPr fontId="1" type="noConversion"/>
  </si>
  <si>
    <t>蓝色/周杞</t>
    <phoneticPr fontId="1" type="noConversion"/>
  </si>
  <si>
    <t>绿色/刘裕</t>
    <phoneticPr fontId="1" type="noConversion"/>
  </si>
  <si>
    <t>紫色/王导</t>
    <phoneticPr fontId="1" type="noConversion"/>
  </si>
  <si>
    <t>v0.2_0521</t>
    <phoneticPr fontId="1" type="noConversion"/>
  </si>
  <si>
    <t>蓝色/桓温</t>
    <phoneticPr fontId="1" type="noConversion"/>
  </si>
  <si>
    <t>绿色/chijian</t>
    <phoneticPr fontId="1" type="noConversion"/>
  </si>
  <si>
    <t>紫色/祖逖</t>
    <phoneticPr fontId="1" type="noConversion"/>
  </si>
  <si>
    <t>v0.3_0530</t>
    <phoneticPr fontId="1" type="noConversion"/>
  </si>
  <si>
    <t>蓝色/祖逖</t>
    <phoneticPr fontId="1" type="noConversion"/>
  </si>
  <si>
    <t>绿色/张轨</t>
    <phoneticPr fontId="1" type="noConversion"/>
  </si>
  <si>
    <t>紫色/桓温</t>
    <phoneticPr fontId="1" type="noConversion"/>
  </si>
  <si>
    <t>v0.4_0604</t>
    <phoneticPr fontId="1" type="noConversion"/>
  </si>
  <si>
    <t>蓝色/谢安</t>
    <phoneticPr fontId="1" type="noConversion"/>
  </si>
  <si>
    <t>绿色/桓温</t>
    <phoneticPr fontId="1" type="noConversion"/>
  </si>
  <si>
    <t>紫色/张轨</t>
    <phoneticPr fontId="1" type="noConversion"/>
  </si>
  <si>
    <t>t9结束</t>
    <phoneticPr fontId="1" type="noConversion"/>
  </si>
  <si>
    <t>t8结束</t>
    <phoneticPr fontId="1" type="noConversion"/>
  </si>
  <si>
    <t>v0.6_0613</t>
    <phoneticPr fontId="1" type="noConversion"/>
  </si>
  <si>
    <t>t10结束</t>
    <phoneticPr fontId="1" type="noConversion"/>
  </si>
  <si>
    <t>黑色放完所有token</t>
    <phoneticPr fontId="1" type="noConversion"/>
  </si>
  <si>
    <t>黑色/拓拔</t>
    <phoneticPr fontId="1" type="noConversion"/>
  </si>
  <si>
    <t>绿色/王导</t>
    <phoneticPr fontId="1" type="noConversion"/>
  </si>
  <si>
    <t>紫色/刘裕</t>
    <phoneticPr fontId="1" type="noConversion"/>
  </si>
  <si>
    <t xml:space="preserve">v0.7_0620 </t>
    <phoneticPr fontId="1" type="noConversion"/>
  </si>
  <si>
    <t>t10结束阶段，黑色vp达到150结束</t>
    <phoneticPr fontId="1" type="noConversion"/>
  </si>
  <si>
    <t>蓝色/郗鉴</t>
    <phoneticPr fontId="1" type="noConversion"/>
  </si>
  <si>
    <t>v0.8_0627</t>
    <phoneticPr fontId="1" type="noConversion"/>
  </si>
  <si>
    <t>t9 结束，黑色达到150vp结束</t>
    <phoneticPr fontId="1" type="noConversion"/>
  </si>
  <si>
    <t>黑色/拓跋</t>
    <phoneticPr fontId="1" type="noConversion"/>
  </si>
  <si>
    <t>紫色/郗鉴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</si>
</sst>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67ED8-6937-492E-8350-3FCD992CF871}">
  <dimension ref="A1:P55"/>
  <sheetViews>
    <sheetView tabSelected="1" zoomScale="150" zoomScaleNormal="150" workbookViewId="0">
      <pane xSplit="1" ySplit="1" topLeftCell="C35" activePane="bottomRight" state="frozen"/>
      <selection pane="topRight" activeCell="B1" sqref="B1"/>
      <selection pane="bottomLeft" activeCell="A2" sqref="A2"/>
      <selection pane="bottomRight" activeCell="Q53" sqref="Q53"/>
    </sheetView>
  </sheetViews>
  <sheetFormatPr defaultRowHeight="14" x14ac:dyDescent="0.3"/>
  <sheetData>
    <row r="1" spans="1:16" x14ac:dyDescent="0.3">
      <c r="A1" t="s">
        <v>0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17</v>
      </c>
      <c r="L1" t="s">
        <v>16</v>
      </c>
      <c r="M1" t="s">
        <v>18</v>
      </c>
      <c r="N1" t="s">
        <v>19</v>
      </c>
      <c r="O1" t="s">
        <v>20</v>
      </c>
      <c r="P1" t="s">
        <v>21</v>
      </c>
    </row>
    <row r="2" spans="1:16" x14ac:dyDescent="0.3">
      <c r="A2" t="s">
        <v>1</v>
      </c>
      <c r="B2">
        <v>2</v>
      </c>
      <c r="E2">
        <v>12</v>
      </c>
      <c r="H2">
        <v>13</v>
      </c>
      <c r="I2">
        <v>10</v>
      </c>
      <c r="J2">
        <v>0</v>
      </c>
      <c r="K2">
        <v>121</v>
      </c>
      <c r="P2">
        <f>SUM(E2:O2)</f>
        <v>156</v>
      </c>
    </row>
    <row r="3" spans="1:16" x14ac:dyDescent="0.3">
      <c r="A3" t="s">
        <v>2</v>
      </c>
      <c r="H3">
        <v>15</v>
      </c>
      <c r="I3">
        <v>6</v>
      </c>
      <c r="K3">
        <v>126</v>
      </c>
      <c r="L3">
        <f>SUM(H3:K3)</f>
        <v>147</v>
      </c>
    </row>
    <row r="4" spans="1:16" x14ac:dyDescent="0.3">
      <c r="A4" t="s">
        <v>3</v>
      </c>
      <c r="B4">
        <v>1</v>
      </c>
      <c r="C4">
        <v>1</v>
      </c>
      <c r="E4">
        <v>6</v>
      </c>
      <c r="F4">
        <v>9</v>
      </c>
      <c r="H4">
        <v>9</v>
      </c>
      <c r="I4">
        <v>5</v>
      </c>
      <c r="J4">
        <v>43</v>
      </c>
      <c r="K4">
        <v>66</v>
      </c>
      <c r="M4">
        <v>2</v>
      </c>
      <c r="N4">
        <f>CEILING(L$3/10,1)*M4</f>
        <v>30</v>
      </c>
      <c r="O4">
        <v>7</v>
      </c>
      <c r="P4">
        <f>SUM(E4:O4)</f>
        <v>177</v>
      </c>
    </row>
    <row r="5" spans="1:16" x14ac:dyDescent="0.3">
      <c r="A5" t="s">
        <v>4</v>
      </c>
      <c r="B5">
        <v>1</v>
      </c>
      <c r="C5">
        <v>1</v>
      </c>
      <c r="D5">
        <v>1</v>
      </c>
      <c r="E5">
        <v>6</v>
      </c>
      <c r="F5">
        <v>9</v>
      </c>
      <c r="G5">
        <v>9</v>
      </c>
      <c r="H5">
        <v>5</v>
      </c>
      <c r="I5">
        <v>4</v>
      </c>
      <c r="J5">
        <v>10</v>
      </c>
      <c r="K5">
        <v>66</v>
      </c>
      <c r="M5">
        <v>5</v>
      </c>
      <c r="N5">
        <f>CEILING(L$3/10,1)*M5</f>
        <v>75</v>
      </c>
      <c r="O5">
        <v>12</v>
      </c>
      <c r="P5">
        <f>SUM(E5:O5)</f>
        <v>201</v>
      </c>
    </row>
    <row r="6" spans="1:16" x14ac:dyDescent="0.3">
      <c r="A6" t="s">
        <v>5</v>
      </c>
      <c r="C6">
        <v>3</v>
      </c>
      <c r="F6">
        <v>18</v>
      </c>
      <c r="H6">
        <v>4</v>
      </c>
      <c r="I6">
        <v>5</v>
      </c>
      <c r="J6">
        <v>8</v>
      </c>
      <c r="K6">
        <v>51</v>
      </c>
      <c r="M6">
        <v>5</v>
      </c>
      <c r="N6">
        <f>CEILING(L$3/10,1)*M6</f>
        <v>75</v>
      </c>
      <c r="O6">
        <v>15</v>
      </c>
      <c r="P6">
        <f>SUM(E6:O6)</f>
        <v>181</v>
      </c>
    </row>
    <row r="7" spans="1:16" x14ac:dyDescent="0.3">
      <c r="B7" t="s">
        <v>6</v>
      </c>
    </row>
    <row r="8" spans="1:16" x14ac:dyDescent="0.3">
      <c r="A8" t="s">
        <v>22</v>
      </c>
    </row>
    <row r="9" spans="1:16" x14ac:dyDescent="0.3">
      <c r="A9" t="s">
        <v>23</v>
      </c>
      <c r="C9">
        <v>1</v>
      </c>
      <c r="F9">
        <v>9</v>
      </c>
      <c r="H9">
        <v>7</v>
      </c>
      <c r="I9">
        <v>6</v>
      </c>
      <c r="J9">
        <v>15</v>
      </c>
      <c r="K9">
        <v>105</v>
      </c>
      <c r="P9">
        <f>SUM(E9:O9)</f>
        <v>142</v>
      </c>
    </row>
    <row r="10" spans="1:16" x14ac:dyDescent="0.3">
      <c r="A10" t="s">
        <v>2</v>
      </c>
      <c r="H10">
        <v>15</v>
      </c>
      <c r="I10">
        <v>5</v>
      </c>
      <c r="K10">
        <v>60</v>
      </c>
      <c r="L10">
        <f>SUM(H10:K10)</f>
        <v>80</v>
      </c>
    </row>
    <row r="11" spans="1:16" x14ac:dyDescent="0.3">
      <c r="A11" t="s">
        <v>24</v>
      </c>
      <c r="B11">
        <v>1</v>
      </c>
      <c r="E11">
        <v>12</v>
      </c>
      <c r="H11">
        <v>3</v>
      </c>
      <c r="I11">
        <v>3</v>
      </c>
      <c r="J11">
        <v>0</v>
      </c>
      <c r="K11">
        <v>56</v>
      </c>
      <c r="M11">
        <v>4</v>
      </c>
      <c r="O11">
        <v>16</v>
      </c>
      <c r="P11">
        <f>SUM(E11:O11)</f>
        <v>94</v>
      </c>
    </row>
    <row r="12" spans="1:16" x14ac:dyDescent="0.3">
      <c r="A12" t="s">
        <v>25</v>
      </c>
      <c r="B12">
        <v>1</v>
      </c>
      <c r="D12">
        <v>1</v>
      </c>
      <c r="E12">
        <v>12</v>
      </c>
      <c r="G12">
        <v>12</v>
      </c>
      <c r="H12">
        <v>8</v>
      </c>
      <c r="I12">
        <v>6</v>
      </c>
      <c r="J12">
        <v>3</v>
      </c>
      <c r="K12">
        <v>50</v>
      </c>
      <c r="M12">
        <v>4</v>
      </c>
      <c r="N12">
        <f>CEILING(L$10/10,1)*M12</f>
        <v>32</v>
      </c>
      <c r="O12">
        <v>22</v>
      </c>
      <c r="P12">
        <f>SUM(E12:O12)</f>
        <v>149</v>
      </c>
    </row>
    <row r="13" spans="1:16" x14ac:dyDescent="0.3">
      <c r="A13" t="s">
        <v>26</v>
      </c>
      <c r="D13">
        <v>1</v>
      </c>
      <c r="G13">
        <v>12</v>
      </c>
      <c r="H13">
        <v>2</v>
      </c>
      <c r="I13">
        <v>3</v>
      </c>
      <c r="J13">
        <v>32</v>
      </c>
      <c r="K13">
        <v>43</v>
      </c>
      <c r="M13">
        <v>4</v>
      </c>
      <c r="N13">
        <f>CEILING(L$10/10,1)*M13</f>
        <v>32</v>
      </c>
      <c r="O13">
        <v>25</v>
      </c>
      <c r="P13">
        <f>SUM(E13:O13)</f>
        <v>153</v>
      </c>
    </row>
    <row r="15" spans="1:16" x14ac:dyDescent="0.3">
      <c r="A15" t="s">
        <v>27</v>
      </c>
    </row>
    <row r="16" spans="1:16" x14ac:dyDescent="0.3">
      <c r="A16" t="s">
        <v>1</v>
      </c>
      <c r="B16">
        <v>1</v>
      </c>
      <c r="E16">
        <v>12</v>
      </c>
      <c r="H16">
        <v>5</v>
      </c>
      <c r="I16">
        <v>6</v>
      </c>
      <c r="K16">
        <v>110</v>
      </c>
      <c r="P16">
        <f>SUM(E16:O16)</f>
        <v>133</v>
      </c>
    </row>
    <row r="17" spans="1:16" x14ac:dyDescent="0.3">
      <c r="A17" t="s">
        <v>2</v>
      </c>
      <c r="H17">
        <v>12</v>
      </c>
      <c r="I17">
        <v>14</v>
      </c>
      <c r="K17">
        <v>72</v>
      </c>
      <c r="L17">
        <f>SUM(H17:K17)</f>
        <v>98</v>
      </c>
    </row>
    <row r="18" spans="1:16" x14ac:dyDescent="0.3">
      <c r="A18" t="s">
        <v>28</v>
      </c>
      <c r="H18">
        <v>8</v>
      </c>
      <c r="I18">
        <v>16</v>
      </c>
      <c r="J18">
        <v>19</v>
      </c>
      <c r="K18">
        <v>70</v>
      </c>
      <c r="M18">
        <v>4</v>
      </c>
      <c r="N18">
        <f>INT(L17/10)*M18</f>
        <v>36</v>
      </c>
      <c r="O18">
        <v>30</v>
      </c>
      <c r="P18">
        <f>SUM(E18:O18)</f>
        <v>183</v>
      </c>
    </row>
    <row r="19" spans="1:16" x14ac:dyDescent="0.3">
      <c r="A19" t="s">
        <v>29</v>
      </c>
      <c r="D19">
        <v>4</v>
      </c>
      <c r="F19">
        <v>12</v>
      </c>
      <c r="H19">
        <v>5</v>
      </c>
      <c r="I19">
        <v>10</v>
      </c>
      <c r="J19">
        <v>19</v>
      </c>
      <c r="K19">
        <v>59</v>
      </c>
      <c r="M19">
        <v>4</v>
      </c>
      <c r="N19">
        <f>INT(L17/10)*M19</f>
        <v>36</v>
      </c>
      <c r="O19">
        <v>14</v>
      </c>
      <c r="P19">
        <f>SUM(E19:O19)</f>
        <v>159</v>
      </c>
    </row>
    <row r="20" spans="1:16" x14ac:dyDescent="0.3">
      <c r="A20" t="s">
        <v>30</v>
      </c>
      <c r="B20">
        <v>5</v>
      </c>
      <c r="D20">
        <v>1</v>
      </c>
      <c r="E20">
        <v>18</v>
      </c>
      <c r="G20">
        <v>9</v>
      </c>
      <c r="H20">
        <v>7</v>
      </c>
      <c r="I20">
        <v>10</v>
      </c>
      <c r="J20">
        <v>20</v>
      </c>
      <c r="K20">
        <v>55</v>
      </c>
      <c r="M20">
        <v>4</v>
      </c>
      <c r="N20">
        <f>INT(L17/10)*M20</f>
        <v>36</v>
      </c>
      <c r="O20">
        <v>18</v>
      </c>
      <c r="P20">
        <f>SUM(E20:O20)</f>
        <v>177</v>
      </c>
    </row>
    <row r="22" spans="1:16" x14ac:dyDescent="0.3">
      <c r="A22" t="s">
        <v>31</v>
      </c>
      <c r="B22" t="s">
        <v>39</v>
      </c>
    </row>
    <row r="23" spans="1:16" x14ac:dyDescent="0.3">
      <c r="A23" t="s">
        <v>23</v>
      </c>
      <c r="B23">
        <v>0</v>
      </c>
      <c r="C23">
        <v>0</v>
      </c>
      <c r="D23">
        <v>0</v>
      </c>
      <c r="H23">
        <v>8</v>
      </c>
      <c r="I23">
        <v>28</v>
      </c>
      <c r="J23">
        <v>28</v>
      </c>
      <c r="K23">
        <v>174</v>
      </c>
      <c r="P23">
        <f>SUM(E23:O23)</f>
        <v>238</v>
      </c>
    </row>
    <row r="24" spans="1:16" x14ac:dyDescent="0.3">
      <c r="A24" t="s">
        <v>2</v>
      </c>
      <c r="H24">
        <v>12</v>
      </c>
      <c r="I24">
        <v>24</v>
      </c>
      <c r="K24">
        <v>127</v>
      </c>
      <c r="L24">
        <f>SUM(H24:K24)</f>
        <v>163</v>
      </c>
    </row>
    <row r="25" spans="1:16" x14ac:dyDescent="0.3">
      <c r="A25" t="s">
        <v>32</v>
      </c>
      <c r="B25">
        <v>1</v>
      </c>
      <c r="C25">
        <v>0</v>
      </c>
      <c r="D25">
        <v>0</v>
      </c>
      <c r="E25">
        <v>2</v>
      </c>
      <c r="H25">
        <v>2</v>
      </c>
      <c r="I25">
        <v>2</v>
      </c>
      <c r="J25">
        <v>15</v>
      </c>
      <c r="K25">
        <v>94</v>
      </c>
      <c r="M25">
        <v>4</v>
      </c>
      <c r="N25">
        <f>INT(L24/10)*M25</f>
        <v>64</v>
      </c>
      <c r="O25">
        <v>32</v>
      </c>
      <c r="P25">
        <f>SUM(E25:O25)</f>
        <v>215</v>
      </c>
    </row>
    <row r="26" spans="1:16" x14ac:dyDescent="0.3">
      <c r="A26" t="s">
        <v>33</v>
      </c>
      <c r="B26">
        <v>3</v>
      </c>
      <c r="C26">
        <v>0</v>
      </c>
      <c r="D26">
        <v>8</v>
      </c>
      <c r="E26">
        <v>4</v>
      </c>
      <c r="G26">
        <v>29</v>
      </c>
      <c r="H26">
        <v>0</v>
      </c>
      <c r="I26">
        <v>2</v>
      </c>
      <c r="J26">
        <v>11</v>
      </c>
      <c r="K26">
        <v>75</v>
      </c>
      <c r="M26">
        <v>3</v>
      </c>
      <c r="N26">
        <f>INT(L24/10)*M26</f>
        <v>48</v>
      </c>
      <c r="O26">
        <v>0</v>
      </c>
      <c r="P26">
        <f>SUM(E26:O26)</f>
        <v>172</v>
      </c>
    </row>
    <row r="27" spans="1:16" x14ac:dyDescent="0.3">
      <c r="A27" t="s">
        <v>34</v>
      </c>
      <c r="B27">
        <v>4</v>
      </c>
      <c r="C27">
        <v>2</v>
      </c>
      <c r="D27">
        <v>2</v>
      </c>
      <c r="E27">
        <v>7</v>
      </c>
      <c r="F27">
        <v>0</v>
      </c>
      <c r="G27">
        <v>22</v>
      </c>
      <c r="H27">
        <v>0</v>
      </c>
      <c r="I27">
        <v>4</v>
      </c>
      <c r="J27">
        <v>25</v>
      </c>
      <c r="K27">
        <v>91</v>
      </c>
      <c r="M27">
        <v>4</v>
      </c>
      <c r="N27">
        <f>INT(L24/10)*M27</f>
        <v>64</v>
      </c>
      <c r="O27">
        <v>6</v>
      </c>
      <c r="P27">
        <f>SUM(E27:O27)</f>
        <v>223</v>
      </c>
    </row>
    <row r="29" spans="1:16" x14ac:dyDescent="0.3">
      <c r="A29" t="s">
        <v>35</v>
      </c>
      <c r="B29" t="s">
        <v>40</v>
      </c>
    </row>
    <row r="30" spans="1:16" x14ac:dyDescent="0.3">
      <c r="A30" t="s">
        <v>1</v>
      </c>
      <c r="C30">
        <v>2</v>
      </c>
      <c r="F30">
        <v>7</v>
      </c>
      <c r="H30">
        <v>4</v>
      </c>
      <c r="I30">
        <v>12</v>
      </c>
      <c r="J30">
        <v>10</v>
      </c>
      <c r="K30">
        <v>163</v>
      </c>
      <c r="P30">
        <f>SUM(E30:O30)</f>
        <v>196</v>
      </c>
    </row>
    <row r="31" spans="1:16" x14ac:dyDescent="0.3">
      <c r="A31" t="s">
        <v>2</v>
      </c>
      <c r="H31">
        <v>13</v>
      </c>
      <c r="I31">
        <v>22</v>
      </c>
      <c r="K31">
        <v>90</v>
      </c>
      <c r="L31">
        <f>SUM(H31:K31)</f>
        <v>125</v>
      </c>
    </row>
    <row r="32" spans="1:16" x14ac:dyDescent="0.3">
      <c r="A32" t="s">
        <v>36</v>
      </c>
      <c r="B32">
        <v>4</v>
      </c>
      <c r="D32">
        <v>1</v>
      </c>
      <c r="E32">
        <v>4</v>
      </c>
      <c r="G32">
        <v>7</v>
      </c>
      <c r="H32">
        <v>1</v>
      </c>
      <c r="I32">
        <v>4</v>
      </c>
      <c r="J32">
        <v>31</v>
      </c>
      <c r="K32">
        <v>65</v>
      </c>
      <c r="M32">
        <v>4</v>
      </c>
      <c r="N32">
        <f>INT(L31/10)*M32</f>
        <v>48</v>
      </c>
      <c r="O32">
        <v>30</v>
      </c>
      <c r="P32">
        <f>SUM(E32:O32)</f>
        <v>194</v>
      </c>
    </row>
    <row r="33" spans="1:16" x14ac:dyDescent="0.3">
      <c r="A33" t="s">
        <v>37</v>
      </c>
      <c r="B33">
        <v>2</v>
      </c>
      <c r="D33">
        <v>5</v>
      </c>
      <c r="E33">
        <v>2</v>
      </c>
      <c r="G33">
        <v>16</v>
      </c>
      <c r="H33">
        <v>1</v>
      </c>
      <c r="I33">
        <v>6</v>
      </c>
      <c r="J33">
        <v>28</v>
      </c>
      <c r="K33">
        <v>122</v>
      </c>
      <c r="M33">
        <v>3</v>
      </c>
      <c r="N33">
        <f>INT(L31/10)*M33</f>
        <v>36</v>
      </c>
      <c r="O33">
        <v>26</v>
      </c>
      <c r="P33">
        <f>SUM(E33:O33)</f>
        <v>240</v>
      </c>
    </row>
    <row r="34" spans="1:16" x14ac:dyDescent="0.3">
      <c r="A34" t="s">
        <v>38</v>
      </c>
      <c r="C34">
        <v>1</v>
      </c>
      <c r="D34">
        <v>2</v>
      </c>
      <c r="F34">
        <v>4</v>
      </c>
      <c r="G34">
        <v>11</v>
      </c>
      <c r="H34">
        <v>7</v>
      </c>
      <c r="I34">
        <v>14</v>
      </c>
      <c r="J34">
        <v>29</v>
      </c>
      <c r="K34">
        <v>91</v>
      </c>
      <c r="M34">
        <v>4</v>
      </c>
      <c r="N34">
        <f>INT(L31/10)*M34</f>
        <v>48</v>
      </c>
      <c r="O34">
        <v>34</v>
      </c>
      <c r="P34">
        <f>SUM(E34:O34)</f>
        <v>242</v>
      </c>
    </row>
    <row r="36" spans="1:16" x14ac:dyDescent="0.3">
      <c r="A36" t="s">
        <v>41</v>
      </c>
      <c r="B36" t="s">
        <v>42</v>
      </c>
      <c r="C36" t="s">
        <v>43</v>
      </c>
    </row>
    <row r="37" spans="1:16" x14ac:dyDescent="0.3">
      <c r="A37" t="s">
        <v>44</v>
      </c>
      <c r="H37">
        <v>20</v>
      </c>
      <c r="I37">
        <v>46</v>
      </c>
      <c r="J37">
        <v>33</v>
      </c>
      <c r="K37">
        <v>149</v>
      </c>
      <c r="P37">
        <f>SUM(E37:O37)</f>
        <v>248</v>
      </c>
    </row>
    <row r="38" spans="1:16" x14ac:dyDescent="0.3">
      <c r="A38" t="s">
        <v>2</v>
      </c>
      <c r="H38">
        <v>10</v>
      </c>
      <c r="I38">
        <v>16</v>
      </c>
      <c r="K38">
        <v>104</v>
      </c>
      <c r="L38">
        <f>SUM(H38:K38)</f>
        <v>130</v>
      </c>
    </row>
    <row r="39" spans="1:16" x14ac:dyDescent="0.3">
      <c r="A39" t="s">
        <v>28</v>
      </c>
      <c r="B39">
        <v>2</v>
      </c>
      <c r="D39">
        <v>1</v>
      </c>
      <c r="E39">
        <v>11</v>
      </c>
      <c r="G39">
        <v>4</v>
      </c>
      <c r="I39">
        <v>6</v>
      </c>
      <c r="J39">
        <v>27</v>
      </c>
      <c r="K39">
        <v>72</v>
      </c>
      <c r="M39">
        <v>4</v>
      </c>
      <c r="N39">
        <f>INT(L38/10)*M39</f>
        <v>52</v>
      </c>
      <c r="O39">
        <v>10</v>
      </c>
      <c r="P39">
        <f>SUM(E39:O39)</f>
        <v>186</v>
      </c>
    </row>
    <row r="40" spans="1:16" x14ac:dyDescent="0.3">
      <c r="A40" t="s">
        <v>45</v>
      </c>
      <c r="B40">
        <v>1</v>
      </c>
      <c r="C40">
        <v>2</v>
      </c>
      <c r="D40">
        <v>2</v>
      </c>
      <c r="E40">
        <v>7</v>
      </c>
      <c r="F40">
        <v>22</v>
      </c>
      <c r="G40">
        <v>7</v>
      </c>
      <c r="I40">
        <v>4</v>
      </c>
      <c r="J40">
        <v>29</v>
      </c>
      <c r="K40">
        <v>95</v>
      </c>
      <c r="M40">
        <v>1</v>
      </c>
      <c r="N40">
        <f>INT(L38/10)*M40</f>
        <v>13</v>
      </c>
      <c r="O40">
        <v>8</v>
      </c>
      <c r="P40">
        <f>SUM(E40:O40)</f>
        <v>186</v>
      </c>
    </row>
    <row r="41" spans="1:16" x14ac:dyDescent="0.3">
      <c r="A41" t="s">
        <v>46</v>
      </c>
      <c r="C41">
        <v>7</v>
      </c>
      <c r="F41">
        <v>29</v>
      </c>
      <c r="H41">
        <v>2</v>
      </c>
      <c r="I41">
        <v>6</v>
      </c>
      <c r="J41">
        <v>28</v>
      </c>
      <c r="K41">
        <v>90</v>
      </c>
      <c r="M41">
        <v>7</v>
      </c>
      <c r="N41">
        <f>INT(L38/10)*M41</f>
        <v>91</v>
      </c>
      <c r="O41">
        <v>16</v>
      </c>
      <c r="P41">
        <f>SUM(E41:O41)</f>
        <v>269</v>
      </c>
    </row>
    <row r="43" spans="1:16" x14ac:dyDescent="0.3">
      <c r="A43" t="s">
        <v>47</v>
      </c>
      <c r="B43" t="s">
        <v>48</v>
      </c>
    </row>
    <row r="44" spans="1:16" x14ac:dyDescent="0.3">
      <c r="A44" t="s">
        <v>23</v>
      </c>
      <c r="H44">
        <v>4</v>
      </c>
      <c r="I44">
        <v>20</v>
      </c>
      <c r="J44">
        <v>42</v>
      </c>
      <c r="K44">
        <v>156</v>
      </c>
      <c r="P44">
        <f>SUM(E44:O44)</f>
        <v>222</v>
      </c>
    </row>
    <row r="45" spans="1:16" x14ac:dyDescent="0.3">
      <c r="A45" t="s">
        <v>2</v>
      </c>
      <c r="H45">
        <v>13</v>
      </c>
      <c r="I45">
        <v>6</v>
      </c>
      <c r="J45">
        <v>0</v>
      </c>
      <c r="K45">
        <v>114</v>
      </c>
      <c r="L45">
        <f>SUM(H45:K45)</f>
        <v>133</v>
      </c>
    </row>
    <row r="46" spans="1:16" x14ac:dyDescent="0.3">
      <c r="A46" t="s">
        <v>49</v>
      </c>
      <c r="D46">
        <v>5</v>
      </c>
      <c r="G46">
        <v>29</v>
      </c>
      <c r="H46">
        <v>3</v>
      </c>
      <c r="I46">
        <v>20</v>
      </c>
      <c r="J46">
        <v>11</v>
      </c>
      <c r="K46">
        <v>88</v>
      </c>
      <c r="M46">
        <v>4</v>
      </c>
      <c r="N46">
        <f>INT(L45/10)*M46</f>
        <v>52</v>
      </c>
      <c r="O46">
        <v>32</v>
      </c>
      <c r="P46">
        <f>SUM(E46:O46)</f>
        <v>239</v>
      </c>
    </row>
    <row r="47" spans="1:16" x14ac:dyDescent="0.3">
      <c r="A47" t="s">
        <v>37</v>
      </c>
      <c r="D47">
        <v>1</v>
      </c>
      <c r="G47">
        <v>16</v>
      </c>
      <c r="H47">
        <v>1</v>
      </c>
      <c r="I47">
        <v>6</v>
      </c>
      <c r="J47">
        <v>24</v>
      </c>
      <c r="K47">
        <v>113</v>
      </c>
      <c r="M47">
        <v>3</v>
      </c>
      <c r="N47">
        <f>INT(L45/10)*M47</f>
        <v>39</v>
      </c>
      <c r="O47">
        <v>34</v>
      </c>
      <c r="P47">
        <f>SUM(E47:O47)</f>
        <v>236</v>
      </c>
    </row>
    <row r="48" spans="1:16" x14ac:dyDescent="0.3">
      <c r="A48" t="s">
        <v>38</v>
      </c>
      <c r="B48">
        <v>3</v>
      </c>
      <c r="D48">
        <v>2</v>
      </c>
      <c r="E48">
        <v>2</v>
      </c>
      <c r="G48">
        <v>22</v>
      </c>
      <c r="H48">
        <v>7</v>
      </c>
      <c r="I48">
        <v>20</v>
      </c>
      <c r="J48">
        <v>56</v>
      </c>
      <c r="K48">
        <v>76</v>
      </c>
      <c r="M48">
        <v>5</v>
      </c>
      <c r="N48">
        <f>INT(L45/10)*M48</f>
        <v>65</v>
      </c>
      <c r="O48">
        <v>24</v>
      </c>
      <c r="P48">
        <f>SUM(E48:O48)</f>
        <v>277</v>
      </c>
    </row>
    <row r="50" spans="1:16" x14ac:dyDescent="0.3">
      <c r="A50" t="s">
        <v>50</v>
      </c>
      <c r="B50" t="s">
        <v>51</v>
      </c>
    </row>
    <row r="51" spans="1:16" x14ac:dyDescent="0.3">
      <c r="A51" t="s">
        <v>52</v>
      </c>
      <c r="H51">
        <v>13</v>
      </c>
      <c r="I51">
        <v>44</v>
      </c>
      <c r="J51">
        <v>0</v>
      </c>
      <c r="K51">
        <v>187</v>
      </c>
      <c r="P51">
        <f>SUM(E51:O51)</f>
        <v>244</v>
      </c>
    </row>
    <row r="52" spans="1:16" x14ac:dyDescent="0.3">
      <c r="A52" t="s">
        <v>2</v>
      </c>
      <c r="H52">
        <v>15</v>
      </c>
      <c r="I52">
        <v>16</v>
      </c>
      <c r="J52">
        <v>0</v>
      </c>
      <c r="K52">
        <v>112</v>
      </c>
      <c r="L52">
        <f>SUM(H52:K52)</f>
        <v>143</v>
      </c>
    </row>
    <row r="53" spans="1:16" x14ac:dyDescent="0.3">
      <c r="A53" t="s">
        <v>36</v>
      </c>
      <c r="B53">
        <v>1</v>
      </c>
      <c r="C53">
        <v>2</v>
      </c>
      <c r="D53">
        <v>1</v>
      </c>
      <c r="E53">
        <v>7</v>
      </c>
      <c r="F53">
        <v>7</v>
      </c>
      <c r="G53">
        <v>3</v>
      </c>
      <c r="H53">
        <v>0</v>
      </c>
      <c r="I53">
        <v>0</v>
      </c>
      <c r="J53">
        <v>0</v>
      </c>
      <c r="K53">
        <v>118</v>
      </c>
      <c r="M53">
        <v>2</v>
      </c>
      <c r="N53">
        <f>INT(L52/10)*M53</f>
        <v>28</v>
      </c>
      <c r="O53">
        <v>0</v>
      </c>
      <c r="P53">
        <f>SUM(E53:O53)</f>
        <v>165</v>
      </c>
    </row>
    <row r="54" spans="1:16" x14ac:dyDescent="0.3">
      <c r="A54" t="s">
        <v>33</v>
      </c>
      <c r="B54">
        <v>3</v>
      </c>
      <c r="D54">
        <v>2</v>
      </c>
      <c r="E54">
        <v>11</v>
      </c>
      <c r="G54">
        <v>7</v>
      </c>
      <c r="H54">
        <v>0</v>
      </c>
      <c r="I54">
        <v>6</v>
      </c>
      <c r="J54">
        <v>3</v>
      </c>
      <c r="K54">
        <v>83</v>
      </c>
      <c r="M54">
        <v>4</v>
      </c>
      <c r="N54">
        <f>INT(L52/10)*M54</f>
        <v>56</v>
      </c>
      <c r="O54">
        <v>10</v>
      </c>
      <c r="P54">
        <f>SUM(E54:O54)</f>
        <v>180</v>
      </c>
    </row>
    <row r="55" spans="1:16" x14ac:dyDescent="0.3">
      <c r="A55" t="s">
        <v>53</v>
      </c>
      <c r="C55">
        <v>1</v>
      </c>
      <c r="D55">
        <v>1</v>
      </c>
      <c r="F55">
        <v>4</v>
      </c>
      <c r="G55">
        <v>3</v>
      </c>
      <c r="H55">
        <v>2</v>
      </c>
      <c r="I55">
        <v>11</v>
      </c>
      <c r="J55">
        <v>0</v>
      </c>
      <c r="K55">
        <v>48</v>
      </c>
      <c r="M55">
        <v>6</v>
      </c>
      <c r="N55">
        <f>INT(L52/10)*M55</f>
        <v>84</v>
      </c>
      <c r="O55">
        <v>32</v>
      </c>
      <c r="P55">
        <f>SUM(E55:O55)</f>
        <v>190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0516_game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Zijie Li</dc:creator>
  <cp:lastModifiedBy>Zijie Li</cp:lastModifiedBy>
  <dcterms:created xsi:type="dcterms:W3CDTF">2026-05-16T01:57:30Z</dcterms:created>
  <dcterms:modified xsi:type="dcterms:W3CDTF">2026-06-27T01:07:54Z</dcterms:modified>
</cp:coreProperties>
</file>