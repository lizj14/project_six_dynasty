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\board_game\project_six_dynasty\"/>
    </mc:Choice>
  </mc:AlternateContent>
  <xr:revisionPtr revIDLastSave="0" documentId="13_ncr:1_{8A27CEDE-1533-4CAC-BFF0-B5A82DB77C3D}" xr6:coauthVersionLast="47" xr6:coauthVersionMax="47" xr10:uidLastSave="{00000000-0000-0000-0000-000000000000}"/>
  <bookViews>
    <workbookView xWindow="-110" yWindow="-110" windowWidth="25820" windowHeight="15500" tabRatio="811" xr2:uid="{F283CFD4-9FFB-4A79-AF0F-7443CC209F7A}"/>
  </bookViews>
  <sheets>
    <sheet name="卡牌设计" sheetId="1" r:id="rId1"/>
    <sheet name="目标牌" sheetId="2" r:id="rId2"/>
    <sheet name="后备" sheetId="4" r:id="rId3"/>
    <sheet name="君主牌" sheetId="3" r:id="rId4"/>
  </sheets>
  <definedNames>
    <definedName name="_xlnm._FilterDatabase" localSheetId="0" hidden="1">卡牌设计!$A$1:$AK$150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7" i="1" l="1"/>
  <c r="Q147" i="1"/>
  <c r="Q148" i="1"/>
  <c r="Q149" i="1"/>
  <c r="Q150" i="1"/>
  <c r="Q146" i="1"/>
  <c r="Q98" i="1"/>
  <c r="Q151" i="1"/>
  <c r="R2" i="4"/>
  <c r="R1" i="4"/>
  <c r="AG2" i="1"/>
  <c r="Q71" i="1"/>
  <c r="Q145" i="1"/>
  <c r="Q144" i="1"/>
  <c r="Q143" i="1"/>
  <c r="Q142" i="1"/>
  <c r="Q70" i="1"/>
  <c r="Q69" i="1"/>
  <c r="Q68" i="1"/>
  <c r="Q67" i="1"/>
  <c r="Q101" i="1"/>
  <c r="Q100" i="1"/>
  <c r="Q99" i="1"/>
  <c r="Q141" i="1"/>
  <c r="Q140" i="1"/>
  <c r="Q139" i="1"/>
  <c r="Q138" i="1"/>
  <c r="Q137" i="1"/>
  <c r="Q136" i="1"/>
  <c r="Q135" i="1"/>
  <c r="Q134" i="1"/>
  <c r="Q108" i="1"/>
  <c r="Q107" i="1"/>
  <c r="Q133" i="1"/>
  <c r="Q132" i="1"/>
  <c r="Q84" i="1"/>
  <c r="Q83" i="1"/>
  <c r="Q82" i="1"/>
  <c r="Q81" i="1"/>
  <c r="Q129" i="1"/>
  <c r="Q128" i="1"/>
  <c r="Q127" i="1"/>
  <c r="Q126" i="1"/>
  <c r="Q125" i="1"/>
  <c r="Q92" i="1"/>
  <c r="Q91" i="1"/>
  <c r="Q85" i="1"/>
  <c r="Q90" i="1"/>
  <c r="Q124" i="1"/>
  <c r="Q123" i="1"/>
  <c r="Q21" i="1"/>
  <c r="Q122" i="1"/>
  <c r="Q121" i="1"/>
  <c r="Q120" i="1"/>
  <c r="Q119" i="1"/>
  <c r="Q118" i="1"/>
  <c r="Q24" i="1"/>
  <c r="Q117" i="1"/>
  <c r="Q116" i="1"/>
  <c r="Q115" i="1"/>
  <c r="Q114" i="1"/>
  <c r="Q113" i="1"/>
  <c r="Q112" i="1"/>
  <c r="Q131" i="1"/>
  <c r="Q111" i="1"/>
  <c r="Q110" i="1"/>
  <c r="Q109" i="1"/>
  <c r="Q106" i="1"/>
  <c r="Q105" i="1"/>
  <c r="Q104" i="1"/>
  <c r="Q103" i="1"/>
  <c r="Q102" i="1"/>
  <c r="Q96" i="1"/>
  <c r="Q95" i="1"/>
  <c r="Q94" i="1"/>
  <c r="Q93" i="1"/>
  <c r="Q89" i="1"/>
  <c r="Q88" i="1"/>
  <c r="Q87" i="1"/>
  <c r="Q86" i="1"/>
  <c r="Q130" i="1"/>
  <c r="Q80" i="1"/>
  <c r="Q79" i="1"/>
  <c r="Q78" i="1"/>
  <c r="Q77" i="1"/>
  <c r="Q76" i="1"/>
  <c r="Q75" i="1"/>
  <c r="Q74" i="1"/>
  <c r="Q42" i="1"/>
  <c r="Q73" i="1"/>
  <c r="Q72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3" i="1"/>
  <c r="Q2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3" i="1"/>
  <c r="AK2" i="1"/>
  <c r="AJ2" i="1"/>
  <c r="AI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C2" i="1"/>
  <c r="P2" i="1"/>
  <c r="O2" i="1"/>
  <c r="N2" i="1"/>
  <c r="M2" i="1"/>
  <c r="L2" i="1"/>
  <c r="K2" i="1"/>
  <c r="J2" i="1"/>
  <c r="I2" i="1"/>
  <c r="AH2" i="1" l="1"/>
</calcChain>
</file>

<file path=xl/sharedStrings.xml><?xml version="1.0" encoding="utf-8"?>
<sst xmlns="http://schemas.openxmlformats.org/spreadsheetml/2006/main" count="833" uniqueCount="493">
  <si>
    <t>归属</t>
  </si>
  <si>
    <t>卡牌名称</t>
  </si>
  <si>
    <t>费用</t>
  </si>
  <si>
    <t>类型</t>
  </si>
  <si>
    <t>资源</t>
  </si>
  <si>
    <t>史书vp</t>
  </si>
  <si>
    <t>文化标记</t>
  </si>
  <si>
    <t>军事标记</t>
  </si>
  <si>
    <t>艺术标记</t>
  </si>
  <si>
    <t>内政标记</t>
  </si>
  <si>
    <t>统计</t>
  </si>
  <si>
    <t>初始</t>
  </si>
  <si>
    <t>流民</t>
  </si>
  <si>
    <t>策略牌</t>
  </si>
  <si>
    <t>被动：[流民]被存档时，自动放置回供应堆。存档[流民]的玩家获得2vp。</t>
  </si>
  <si>
    <t>-</t>
  </si>
  <si>
    <t>士卒</t>
  </si>
  <si>
    <t>行动：3军力</t>
  </si>
  <si>
    <t>1军力</t>
  </si>
  <si>
    <t>宫廷</t>
  </si>
  <si>
    <t>2vp</t>
  </si>
  <si>
    <t>征辟人才</t>
  </si>
  <si>
    <t>行动：摸2张牌</t>
  </si>
  <si>
    <t>北伐</t>
  </si>
  <si>
    <t>2军力</t>
  </si>
  <si>
    <t>加官进爵</t>
  </si>
  <si>
    <t>骑兵</t>
  </si>
  <si>
    <t>苻坚</t>
  </si>
  <si>
    <t>角色牌</t>
  </si>
  <si>
    <t>邓羌</t>
  </si>
  <si>
    <t>幕僚牌</t>
  </si>
  <si>
    <t>慕容</t>
  </si>
  <si>
    <t>慕容儁</t>
  </si>
  <si>
    <t>尊奉江东</t>
  </si>
  <si>
    <t>东晋获得3vp</t>
  </si>
  <si>
    <t>幽州突骑</t>
  </si>
  <si>
    <t>拓跋</t>
  </si>
  <si>
    <t>拓跋珪</t>
  </si>
  <si>
    <t>草原部落</t>
  </si>
  <si>
    <t>北方</t>
  </si>
  <si>
    <t>姚苌</t>
  </si>
  <si>
    <t>王猛</t>
  </si>
  <si>
    <t>被动：每次[存档]时，获得2军力。</t>
  </si>
  <si>
    <t>王导</t>
  </si>
  <si>
    <t>王羲之</t>
  </si>
  <si>
    <t>王敦</t>
  </si>
  <si>
    <t>谢安</t>
  </si>
  <si>
    <t>谢玄</t>
  </si>
  <si>
    <t>谢道蕴</t>
  </si>
  <si>
    <t>高卧东山</t>
  </si>
  <si>
    <t>事件牌</t>
  </si>
  <si>
    <t>检索[策略]，然后存档此牌。</t>
  </si>
  <si>
    <t>郗鉴</t>
  </si>
  <si>
    <t>张轨</t>
  </si>
  <si>
    <t>通使建康</t>
  </si>
  <si>
    <t>凉州大马</t>
  </si>
  <si>
    <t>桓温</t>
  </si>
  <si>
    <t>入幕之宾</t>
  </si>
  <si>
    <t>检索[幕僚]，然后存档此牌。</t>
  </si>
  <si>
    <t>桓石虔</t>
  </si>
  <si>
    <t>主动：获得1军力。被动：每次[进军]，获得1vp。</t>
  </si>
  <si>
    <t>刘裕</t>
  </si>
  <si>
    <t>王镇恶</t>
  </si>
  <si>
    <t>主动：执行[进军]，费用减1。被动：每次执行[进军]后，获得2vp。</t>
  </si>
  <si>
    <t>刘穆之</t>
  </si>
  <si>
    <t>土断</t>
  </si>
  <si>
    <t>祖逖</t>
  </si>
  <si>
    <t>刘琨</t>
  </si>
  <si>
    <t>桓宣</t>
  </si>
  <si>
    <t>周玘</t>
  </si>
  <si>
    <t>牌库</t>
  </si>
  <si>
    <t>告老还乡</t>
  </si>
  <si>
    <t>强制：选择1个[幕僚]最多的玩家，该玩家选择1个费用最高的[幕僚]存档。摸1张牌。</t>
  </si>
  <si>
    <t>功高不赏</t>
  </si>
  <si>
    <t>流民四起</t>
  </si>
  <si>
    <t>我见犹怜</t>
  </si>
  <si>
    <t>2军力</t>
    <phoneticPr fontId="18" type="noConversion"/>
  </si>
  <si>
    <t>行动：存档1张候选策略牌。</t>
    <phoneticPr fontId="18" type="noConversion"/>
  </si>
  <si>
    <t>1军力1vp</t>
    <phoneticPr fontId="18" type="noConversion"/>
  </si>
  <si>
    <t>3vp</t>
    <phoneticPr fontId="18" type="noConversion"/>
  </si>
  <si>
    <t>孙恩</t>
    <phoneticPr fontId="18" type="noConversion"/>
  </si>
  <si>
    <t>行动：4军力</t>
    <phoneticPr fontId="18" type="noConversion"/>
  </si>
  <si>
    <t>主动：2军力</t>
    <phoneticPr fontId="18" type="noConversion"/>
  </si>
  <si>
    <t>被动：当你的[威望]是并列最高时，也可以执行[僭越]效果。每次执行[僭越]效果时，摸1张牌并获得2vp。</t>
    <phoneticPr fontId="18" type="noConversion"/>
  </si>
  <si>
    <t>被动：每次打出[军事]牌或执行[军事]策略，摸1张牌。</t>
    <phoneticPr fontId="18" type="noConversion"/>
  </si>
  <si>
    <t>击楫中流</t>
    <phoneticPr fontId="18" type="noConversion"/>
  </si>
  <si>
    <t>事件牌</t>
    <phoneticPr fontId="18" type="noConversion"/>
  </si>
  <si>
    <t>获得6军力，存档此牌。</t>
    <phoneticPr fontId="18" type="noConversion"/>
  </si>
  <si>
    <t>慕容恪</t>
    <phoneticPr fontId="18" type="noConversion"/>
  </si>
  <si>
    <t>幕僚牌</t>
    <phoneticPr fontId="18" type="noConversion"/>
  </si>
  <si>
    <t>慕容垂</t>
    <phoneticPr fontId="18" type="noConversion"/>
  </si>
  <si>
    <t>毛宝</t>
    <phoneticPr fontId="18" type="noConversion"/>
  </si>
  <si>
    <t>兰亭集序</t>
    <phoneticPr fontId="18" type="noConversion"/>
  </si>
  <si>
    <t>洛神赋图</t>
    <phoneticPr fontId="18" type="noConversion"/>
  </si>
  <si>
    <t>吕他墓表</t>
    <phoneticPr fontId="18" type="noConversion"/>
  </si>
  <si>
    <t>农民起义</t>
    <phoneticPr fontId="18" type="noConversion"/>
  </si>
  <si>
    <t>崔宏</t>
    <phoneticPr fontId="18" type="noConversion"/>
  </si>
  <si>
    <t>郗鉴</t>
    <phoneticPr fontId="18" type="noConversion"/>
  </si>
  <si>
    <t>郗超</t>
    <phoneticPr fontId="18" type="noConversion"/>
  </si>
  <si>
    <t>限定东晋</t>
    <phoneticPr fontId="18" type="noConversion"/>
  </si>
  <si>
    <t>限定北方</t>
    <phoneticPr fontId="18" type="noConversion"/>
  </si>
  <si>
    <t>营造宫殿</t>
    <phoneticPr fontId="18" type="noConversion"/>
  </si>
  <si>
    <t>策略牌</t>
    <phoneticPr fontId="18" type="noConversion"/>
  </si>
  <si>
    <t>4vp</t>
    <phoneticPr fontId="18" type="noConversion"/>
  </si>
  <si>
    <t>鸠摩罗什</t>
    <phoneticPr fontId="18" type="noConversion"/>
  </si>
  <si>
    <t>被动：每次打出[文化]牌或者执行[文化]策略时，获得3vp。</t>
    <phoneticPr fontId="18" type="noConversion"/>
  </si>
  <si>
    <t>桃花源记</t>
    <phoneticPr fontId="18" type="noConversion"/>
  </si>
  <si>
    <t>存档此牌。终局：北方和东晋国家牌库中，每有1张[流民]，获得1vp</t>
    <phoneticPr fontId="18" type="noConversion"/>
  </si>
  <si>
    <t>西域征伐</t>
    <phoneticPr fontId="18" type="noConversion"/>
  </si>
  <si>
    <t>高句丽征伐</t>
    <phoneticPr fontId="18" type="noConversion"/>
  </si>
  <si>
    <t>招抚</t>
    <phoneticPr fontId="18" type="noConversion"/>
  </si>
  <si>
    <t>1军力2vp</t>
    <phoneticPr fontId="18" type="noConversion"/>
  </si>
  <si>
    <t>主动：1军力，弃1张手牌，然后摸1张手牌。</t>
    <phoneticPr fontId="18" type="noConversion"/>
  </si>
  <si>
    <t>刘牢之</t>
    <phoneticPr fontId="18" type="noConversion"/>
  </si>
  <si>
    <t>支妙音</t>
    <phoneticPr fontId="18" type="noConversion"/>
  </si>
  <si>
    <t>僭越</t>
    <phoneticPr fontId="18" type="noConversion"/>
  </si>
  <si>
    <t>咄咄怪事</t>
    <phoneticPr fontId="18" type="noConversion"/>
  </si>
  <si>
    <t>北征赋</t>
    <phoneticPr fontId="18" type="noConversion"/>
  </si>
  <si>
    <t>拥有[北伐]标记时，可以打出，存档此牌。</t>
    <phoneticPr fontId="18" type="noConversion"/>
  </si>
  <si>
    <t>遗臭万年</t>
    <phoneticPr fontId="18" type="noConversion"/>
  </si>
  <si>
    <t>陶渊明</t>
    <phoneticPr fontId="18" type="noConversion"/>
  </si>
  <si>
    <t>检索[艺术]，然后存档此牌。</t>
    <phoneticPr fontId="18" type="noConversion"/>
  </si>
  <si>
    <t>周处除三害</t>
    <phoneticPr fontId="18" type="noConversion"/>
  </si>
  <si>
    <t>存档1张候选策略牌，然后存档此牌。</t>
    <phoneticPr fontId="18" type="noConversion"/>
  </si>
  <si>
    <t>沈劲</t>
    <phoneticPr fontId="18" type="noConversion"/>
  </si>
  <si>
    <t>主动：1军力。</t>
    <phoneticPr fontId="18" type="noConversion"/>
  </si>
  <si>
    <t>兴修水利</t>
    <phoneticPr fontId="18" type="noConversion"/>
  </si>
  <si>
    <t>庾亮</t>
    <phoneticPr fontId="18" type="noConversion"/>
  </si>
  <si>
    <t>还都洛阳</t>
    <phoneticPr fontId="18" type="noConversion"/>
  </si>
  <si>
    <t>目标牌</t>
    <phoneticPr fontId="18" type="noConversion"/>
  </si>
  <si>
    <t>分数</t>
    <phoneticPr fontId="18" type="noConversion"/>
  </si>
  <si>
    <t>简单目标</t>
    <phoneticPr fontId="18" type="noConversion"/>
  </si>
  <si>
    <t>完整目标</t>
    <phoneticPr fontId="18" type="noConversion"/>
  </si>
  <si>
    <t>天府之土</t>
    <phoneticPr fontId="18" type="noConversion"/>
  </si>
  <si>
    <t>玩家控制[巴蜀]区域</t>
    <phoneticPr fontId="18" type="noConversion"/>
  </si>
  <si>
    <t>东晋控制[巴蜀]区域</t>
    <phoneticPr fontId="18" type="noConversion"/>
  </si>
  <si>
    <t>流芳百世</t>
    <phoneticPr fontId="18" type="noConversion"/>
  </si>
  <si>
    <t>8/16</t>
    <phoneticPr fontId="18" type="noConversion"/>
  </si>
  <si>
    <t>功绩超过5</t>
    <phoneticPr fontId="18" type="noConversion"/>
  </si>
  <si>
    <t>加九锡</t>
    <phoneticPr fontId="18" type="noConversion"/>
  </si>
  <si>
    <t>江汉之固</t>
  </si>
  <si>
    <t>威望最高，且超过第二名、第三名之和。</t>
    <phoneticPr fontId="18" type="noConversion"/>
  </si>
  <si>
    <t>功绩最高，且超过7</t>
    <phoneticPr fontId="18" type="noConversion"/>
  </si>
  <si>
    <t>威望超过7</t>
    <phoneticPr fontId="18" type="noConversion"/>
  </si>
  <si>
    <t>河洛旧都</t>
  </si>
  <si>
    <t>东晋控制[中原]区域</t>
    <phoneticPr fontId="18" type="noConversion"/>
  </si>
  <si>
    <t>玩家控制[中原]区域</t>
    <phoneticPr fontId="18" type="noConversion"/>
  </si>
  <si>
    <t>关中故畿</t>
  </si>
  <si>
    <t>东晋控制[关中]区域</t>
    <phoneticPr fontId="18" type="noConversion"/>
  </si>
  <si>
    <t>玩家控制[关中]区域</t>
    <phoneticPr fontId="18" type="noConversion"/>
  </si>
  <si>
    <t>海岱之地</t>
    <phoneticPr fontId="18" type="noConversion"/>
  </si>
  <si>
    <t>玩家控制[山东]区域</t>
    <phoneticPr fontId="18" type="noConversion"/>
  </si>
  <si>
    <t>淮甸重镇</t>
  </si>
  <si>
    <t>东晋控制[淮南]区域</t>
    <phoneticPr fontId="18" type="noConversion"/>
  </si>
  <si>
    <t>玩家控制[淮南]区域</t>
    <phoneticPr fontId="18" type="noConversion"/>
  </si>
  <si>
    <t>东晋控制[山东]区域</t>
    <phoneticPr fontId="18" type="noConversion"/>
  </si>
  <si>
    <t>赵魏雄藩</t>
  </si>
  <si>
    <t>东晋控制[河北]区域</t>
    <phoneticPr fontId="18" type="noConversion"/>
  </si>
  <si>
    <t>玩家控制[河北]区域</t>
    <phoneticPr fontId="18" type="noConversion"/>
  </si>
  <si>
    <t>表里山河</t>
    <phoneticPr fontId="18" type="noConversion"/>
  </si>
  <si>
    <t>东晋控制[山西]区域</t>
    <phoneticPr fontId="18" type="noConversion"/>
  </si>
  <si>
    <t>玩家控制[山西]区域</t>
    <phoneticPr fontId="18" type="noConversion"/>
  </si>
  <si>
    <t>幕僚区和存档区有3个艺术标记</t>
    <phoneticPr fontId="18" type="noConversion"/>
  </si>
  <si>
    <t>幕僚区和存档区有5个艺术标记</t>
    <phoneticPr fontId="18" type="noConversion"/>
  </si>
  <si>
    <t>7/14</t>
    <phoneticPr fontId="18" type="noConversion"/>
  </si>
  <si>
    <t>敦悦五经</t>
  </si>
  <si>
    <t>6/14</t>
    <phoneticPr fontId="18" type="noConversion"/>
  </si>
  <si>
    <t>儒学等级超过3</t>
    <phoneticPr fontId="18" type="noConversion"/>
  </si>
  <si>
    <t>琴书继美</t>
  </si>
  <si>
    <t>清言世业</t>
  </si>
  <si>
    <t>玄学等级超过3</t>
    <phoneticPr fontId="18" type="noConversion"/>
  </si>
  <si>
    <t>崇奉三宝</t>
  </si>
  <si>
    <t>佛学等级超过3</t>
    <phoneticPr fontId="18" type="noConversion"/>
  </si>
  <si>
    <t>行动：提高1级文化。获得4vp。</t>
    <phoneticPr fontId="18" type="noConversion"/>
  </si>
  <si>
    <t>佛寺</t>
    <phoneticPr fontId="18" type="noConversion"/>
  </si>
  <si>
    <t>伊霍之事</t>
    <phoneticPr fontId="18" type="noConversion"/>
  </si>
  <si>
    <t>仅限东晋玩家打出。[僭越]重洗当前君主牌，并根据牌面描述重置司马家威望，获得1威望，然后存档此牌。</t>
    <phoneticPr fontId="18" type="noConversion"/>
  </si>
  <si>
    <t>幕僚-名将</t>
    <phoneticPr fontId="18" type="noConversion"/>
  </si>
  <si>
    <t>幕僚-谋主</t>
    <phoneticPr fontId="18" type="noConversion"/>
  </si>
  <si>
    <t>幕僚-特殊</t>
    <phoneticPr fontId="18" type="noConversion"/>
  </si>
  <si>
    <t>策略-军备</t>
    <phoneticPr fontId="18" type="noConversion"/>
  </si>
  <si>
    <t>策略-文化</t>
    <phoneticPr fontId="18" type="noConversion"/>
  </si>
  <si>
    <t>策略-特殊</t>
    <phoneticPr fontId="18" type="noConversion"/>
  </si>
  <si>
    <t>事件-艺术</t>
    <phoneticPr fontId="18" type="noConversion"/>
  </si>
  <si>
    <t>事件-文化</t>
    <phoneticPr fontId="18" type="noConversion"/>
  </si>
  <si>
    <t>事件-军事</t>
    <phoneticPr fontId="18" type="noConversion"/>
  </si>
  <si>
    <t>事件-VP</t>
    <phoneticPr fontId="18" type="noConversion"/>
  </si>
  <si>
    <t>事件-检索</t>
    <phoneticPr fontId="18" type="noConversion"/>
  </si>
  <si>
    <t>事件-机制</t>
    <phoneticPr fontId="18" type="noConversion"/>
  </si>
  <si>
    <t>total</t>
    <phoneticPr fontId="18" type="noConversion"/>
  </si>
  <si>
    <t>事件-功能</t>
    <phoneticPr fontId="18" type="noConversion"/>
  </si>
  <si>
    <t>朱龄石</t>
    <phoneticPr fontId="18" type="noConversion"/>
  </si>
  <si>
    <t>谢艾</t>
    <phoneticPr fontId="18" type="noConversion"/>
  </si>
  <si>
    <t>陶侃</t>
    <phoneticPr fontId="18" type="noConversion"/>
  </si>
  <si>
    <t>玄言清谈</t>
    <phoneticPr fontId="18" type="noConversion"/>
  </si>
  <si>
    <t>法显西行</t>
    <phoneticPr fontId="18" type="noConversion"/>
  </si>
  <si>
    <t>京口重镇</t>
  </si>
  <si>
    <t>儒学</t>
    <phoneticPr fontId="18" type="noConversion"/>
  </si>
  <si>
    <t>玄学</t>
    <phoneticPr fontId="18" type="noConversion"/>
  </si>
  <si>
    <t>佛学</t>
    <phoneticPr fontId="18" type="noConversion"/>
  </si>
  <si>
    <t>史官</t>
  </si>
  <si>
    <t>4vp</t>
  </si>
  <si>
    <t>千佛洞</t>
  </si>
  <si>
    <t>戴洋</t>
  </si>
  <si>
    <t>郭璞</t>
  </si>
  <si>
    <t>检索强制性事件牌，然后存档此牌。</t>
  </si>
  <si>
    <t>荀灌</t>
  </si>
  <si>
    <t>谢安</t>
    <phoneticPr fontId="18" type="noConversion"/>
  </si>
  <si>
    <t>桓温</t>
    <phoneticPr fontId="18" type="noConversion"/>
  </si>
  <si>
    <t>卡牌分类</t>
    <phoneticPr fontId="18" type="noConversion"/>
  </si>
  <si>
    <t>初始</t>
    <phoneticPr fontId="18" type="noConversion"/>
  </si>
  <si>
    <t>角色-北方</t>
    <phoneticPr fontId="18" type="noConversion"/>
  </si>
  <si>
    <t>角色-东晋</t>
    <phoneticPr fontId="18" type="noConversion"/>
  </si>
  <si>
    <t>幕僚-艺术文化</t>
    <phoneticPr fontId="18" type="noConversion"/>
  </si>
  <si>
    <t>事件-权谋</t>
    <phoneticPr fontId="18" type="noConversion"/>
  </si>
  <si>
    <t>权谋标记</t>
    <phoneticPr fontId="18" type="noConversion"/>
  </si>
  <si>
    <t>尹纬</t>
    <phoneticPr fontId="18" type="noConversion"/>
  </si>
  <si>
    <t>幕僚牌</t>
    <phoneticPr fontId="18" type="noConversion"/>
  </si>
  <si>
    <t>幕僚-谋主</t>
    <phoneticPr fontId="18" type="noConversion"/>
  </si>
  <si>
    <t>被动：每次弃手牌时，获得2vp。</t>
    <phoneticPr fontId="18" type="noConversion"/>
  </si>
  <si>
    <t>已经标注</t>
    <phoneticPr fontId="18" type="noConversion"/>
  </si>
  <si>
    <t>刁协</t>
    <phoneticPr fontId="18" type="noConversion"/>
  </si>
  <si>
    <t>袁乔</t>
    <phoneticPr fontId="18" type="noConversion"/>
  </si>
  <si>
    <t>事件-文化</t>
    <phoneticPr fontId="18" type="noConversion"/>
  </si>
  <si>
    <t>被动：每次打出[艺术]牌或者执行[艺术]策略时，获得3vp。</t>
    <phoneticPr fontId="18" type="noConversion"/>
  </si>
  <si>
    <t>幕僚-艺术文化</t>
    <phoneticPr fontId="18" type="noConversion"/>
  </si>
  <si>
    <t>选择一个你在所有玩家中等级最低的文化轨道，提升2级，然后存档此牌。</t>
    <phoneticPr fontId="18" type="noConversion"/>
  </si>
  <si>
    <t>事件牌</t>
    <phoneticPr fontId="18" type="noConversion"/>
  </si>
  <si>
    <t>搜神记</t>
    <phoneticPr fontId="18" type="noConversion"/>
  </si>
  <si>
    <t>事件-艺术</t>
    <phoneticPr fontId="18" type="noConversion"/>
  </si>
  <si>
    <t>道安</t>
    <phoneticPr fontId="18" type="noConversion"/>
  </si>
  <si>
    <t>仅限东晋玩家打出。转化[太原][平阳]，然后存档此牌。终局：如果友方占据[太原][平阳]，获得7vp。</t>
    <phoneticPr fontId="18" type="noConversion"/>
  </si>
  <si>
    <t>每当[佛学]等级提高时，摸1张牌。</t>
    <phoneticPr fontId="18" type="noConversion"/>
  </si>
  <si>
    <t>每当任意玩家打出[艺术]牌时，获得2vp。</t>
    <phoneticPr fontId="18" type="noConversion"/>
  </si>
  <si>
    <t>君主牌</t>
    <phoneticPr fontId="18" type="noConversion"/>
  </si>
  <si>
    <t>数量</t>
    <phoneticPr fontId="18" type="noConversion"/>
  </si>
  <si>
    <t>纯质</t>
    <phoneticPr fontId="18" type="noConversion"/>
  </si>
  <si>
    <t>-</t>
    <phoneticPr fontId="18" type="noConversion"/>
  </si>
  <si>
    <t>初始威望</t>
    <phoneticPr fontId="18" type="noConversion"/>
  </si>
  <si>
    <t>守成</t>
    <phoneticPr fontId="18" type="noConversion"/>
  </si>
  <si>
    <t>加固</t>
    <phoneticPr fontId="18" type="noConversion"/>
  </si>
  <si>
    <t>扩张</t>
    <phoneticPr fontId="18" type="noConversion"/>
  </si>
  <si>
    <t>文化</t>
    <phoneticPr fontId="18" type="noConversion"/>
  </si>
  <si>
    <t>艺术</t>
    <phoneticPr fontId="18" type="noConversion"/>
  </si>
  <si>
    <t>躬亲</t>
    <phoneticPr fontId="18" type="noConversion"/>
  </si>
  <si>
    <t>扩张骰子</t>
    <phoneticPr fontId="18" type="noConversion"/>
  </si>
  <si>
    <t>改革</t>
    <phoneticPr fontId="18" type="noConversion"/>
  </si>
  <si>
    <t>江南</t>
    <phoneticPr fontId="18" type="noConversion"/>
  </si>
  <si>
    <t>1，2</t>
    <phoneticPr fontId="18" type="noConversion"/>
  </si>
  <si>
    <t>3，4</t>
    <phoneticPr fontId="18" type="noConversion"/>
  </si>
  <si>
    <t>5，6</t>
    <phoneticPr fontId="18" type="noConversion"/>
  </si>
  <si>
    <t>淮南</t>
    <phoneticPr fontId="18" type="noConversion"/>
  </si>
  <si>
    <t>山东</t>
    <phoneticPr fontId="18" type="noConversion"/>
  </si>
  <si>
    <t>荆襄</t>
    <phoneticPr fontId="18" type="noConversion"/>
  </si>
  <si>
    <t>中原</t>
    <phoneticPr fontId="18" type="noConversion"/>
  </si>
  <si>
    <t>巴蜀</t>
    <phoneticPr fontId="18" type="noConversion"/>
  </si>
  <si>
    <t>关中</t>
    <phoneticPr fontId="18" type="noConversion"/>
  </si>
  <si>
    <t>河北</t>
    <phoneticPr fontId="18" type="noConversion"/>
  </si>
  <si>
    <t>山西</t>
    <phoneticPr fontId="18" type="noConversion"/>
  </si>
  <si>
    <t>特效</t>
    <phoneticPr fontId="18" type="noConversion"/>
  </si>
  <si>
    <t>雅好</t>
    <phoneticPr fontId="18" type="noConversion"/>
  </si>
  <si>
    <t>安逸</t>
    <phoneticPr fontId="18" type="noConversion"/>
  </si>
  <si>
    <t>每回合-1司马家军力，+3vp</t>
    <phoneticPr fontId="18" type="noConversion"/>
  </si>
  <si>
    <t>清君侧</t>
    <phoneticPr fontId="18" type="noConversion"/>
  </si>
  <si>
    <t>仅限东晋玩家打出。支付7军力，然后获得2威望，其他东晋玩家失去1威望。每占据一个和首都相邻的地点，减少1点军力费用。</t>
    <phoneticPr fontId="18" type="noConversion"/>
  </si>
  <si>
    <t>幕僚牌</t>
    <phoneticPr fontId="18" type="noConversion"/>
  </si>
  <si>
    <t>幕僚-特殊</t>
    <phoneticPr fontId="18" type="noConversion"/>
  </si>
  <si>
    <t>主动：选择1个地点[加固]。</t>
    <phoneticPr fontId="18" type="noConversion"/>
  </si>
  <si>
    <t>仅限东晋玩家打出。被动：执行[僭越]效果时，获得2vp。</t>
    <phoneticPr fontId="18" type="noConversion"/>
  </si>
  <si>
    <t>钱凤</t>
    <phoneticPr fontId="18" type="noConversion"/>
  </si>
  <si>
    <t>司马道子</t>
    <phoneticPr fontId="18" type="noConversion"/>
  </si>
  <si>
    <t>仅限北方玩家打出。主动：弃置1张东晋的候选策略牌。</t>
    <phoneticPr fontId="18" type="noConversion"/>
  </si>
  <si>
    <t>修缮城防</t>
    <phoneticPr fontId="18" type="noConversion"/>
  </si>
  <si>
    <t>策略牌</t>
    <phoneticPr fontId="18" type="noConversion"/>
  </si>
  <si>
    <t>策略-军备</t>
    <phoneticPr fontId="18" type="noConversion"/>
  </si>
  <si>
    <t>[加固]1次。1vp。</t>
    <phoneticPr fontId="18" type="noConversion"/>
  </si>
  <si>
    <t>募兵</t>
    <phoneticPr fontId="18" type="noConversion"/>
  </si>
  <si>
    <t>誓师北伐</t>
    <phoneticPr fontId="18" type="noConversion"/>
  </si>
  <si>
    <t>2军力1vp</t>
    <phoneticPr fontId="18" type="noConversion"/>
  </si>
  <si>
    <t>军屯</t>
    <phoneticPr fontId="18" type="noConversion"/>
  </si>
  <si>
    <t>3军力-1vp</t>
    <phoneticPr fontId="18" type="noConversion"/>
  </si>
  <si>
    <t>流民帅</t>
    <phoneticPr fontId="18" type="noConversion"/>
  </si>
  <si>
    <t>事件牌</t>
    <phoneticPr fontId="18" type="noConversion"/>
  </si>
  <si>
    <t>事件-军事</t>
    <phoneticPr fontId="18" type="noConversion"/>
  </si>
  <si>
    <t>漠北征伐</t>
    <phoneticPr fontId="18" type="noConversion"/>
  </si>
  <si>
    <t>获得2军力。转化1个非[江南][荆襄]区域的中立地点。</t>
    <phoneticPr fontId="18" type="noConversion"/>
  </si>
  <si>
    <t>事件牌</t>
    <phoneticPr fontId="18" type="noConversion"/>
  </si>
  <si>
    <t>事件-机制</t>
    <phoneticPr fontId="18" type="noConversion"/>
  </si>
  <si>
    <t>强制：在东晋和北方弃牌区各放置1张[流民]。摸1张牌。</t>
    <phoneticPr fontId="18" type="noConversion"/>
  </si>
  <si>
    <t>强制：在东晋和北方弃牌区各放置1张[流民]。将主版图弃牌区洗回牌库。摸1张牌。</t>
    <phoneticPr fontId="18" type="noConversion"/>
  </si>
  <si>
    <t>侨州郡县</t>
    <phoneticPr fontId="18" type="noConversion"/>
  </si>
  <si>
    <t>策略牌</t>
    <phoneticPr fontId="18" type="noConversion"/>
  </si>
  <si>
    <t>策略-特殊</t>
    <phoneticPr fontId="18" type="noConversion"/>
  </si>
  <si>
    <t>1军力2vp</t>
    <phoneticPr fontId="18" type="noConversion"/>
  </si>
  <si>
    <t>礼乐制度</t>
    <phoneticPr fontId="18" type="noConversion"/>
  </si>
  <si>
    <t>策略-文化</t>
    <phoneticPr fontId="18" type="noConversion"/>
  </si>
  <si>
    <t>3vp</t>
    <phoneticPr fontId="18" type="noConversion"/>
  </si>
  <si>
    <t>选择一个东晋玩家，失去1军力。然后，获得1军力。[僭越]存档此牌，获得1军力。</t>
    <phoneticPr fontId="18" type="noConversion"/>
  </si>
  <si>
    <t>坞堡</t>
    <phoneticPr fontId="18" type="noConversion"/>
  </si>
  <si>
    <t>策略牌</t>
    <phoneticPr fontId="18" type="noConversion"/>
  </si>
  <si>
    <t>策略-军备</t>
    <phoneticPr fontId="18" type="noConversion"/>
  </si>
  <si>
    <t>效果</t>
    <phoneticPr fontId="18" type="noConversion"/>
  </si>
  <si>
    <t>1军力2vp</t>
    <phoneticPr fontId="18" type="noConversion"/>
  </si>
  <si>
    <t>1军力1vp</t>
    <phoneticPr fontId="18" type="noConversion"/>
  </si>
  <si>
    <t>行动：4军力。从[晋]面板获得[北伐]标记。被动：仅限东晋玩家打出。</t>
    <phoneticPr fontId="18" type="noConversion"/>
  </si>
  <si>
    <t>轻骑兵</t>
    <phoneticPr fontId="18" type="noConversion"/>
  </si>
  <si>
    <t>2军力</t>
    <phoneticPr fontId="18" type="noConversion"/>
  </si>
  <si>
    <t>佛经翻译</t>
    <phoneticPr fontId="18" type="noConversion"/>
  </si>
  <si>
    <t>策略-文化</t>
    <phoneticPr fontId="18" type="noConversion"/>
  </si>
  <si>
    <t>3vp</t>
    <phoneticPr fontId="18" type="noConversion"/>
  </si>
  <si>
    <t>国子学</t>
    <phoneticPr fontId="18" type="noConversion"/>
  </si>
  <si>
    <t>太学</t>
    <phoneticPr fontId="18" type="noConversion"/>
  </si>
  <si>
    <t>行动：提高1级文化。每有1级文化等级，获得1vp。</t>
    <phoneticPr fontId="18" type="noConversion"/>
  </si>
  <si>
    <t>5vp</t>
    <phoneticPr fontId="18" type="noConversion"/>
  </si>
  <si>
    <t>新亭清谈</t>
    <phoneticPr fontId="18" type="noConversion"/>
  </si>
  <si>
    <t>4vp</t>
    <phoneticPr fontId="18" type="noConversion"/>
  </si>
  <si>
    <t>东晋行动：5vp，司马家获得7vp；北方行动：8vp</t>
    <phoneticPr fontId="18" type="noConversion"/>
  </si>
  <si>
    <t>广纳贤才</t>
    <phoneticPr fontId="18" type="noConversion"/>
  </si>
  <si>
    <t>策略-特殊</t>
    <phoneticPr fontId="18" type="noConversion"/>
  </si>
  <si>
    <t>行动：摸3张牌。</t>
    <phoneticPr fontId="18" type="noConversion"/>
  </si>
  <si>
    <t>华林苑</t>
  </si>
  <si>
    <t>行动：8vp</t>
    <phoneticPr fontId="18" type="noConversion"/>
  </si>
  <si>
    <t>著作郎</t>
    <phoneticPr fontId="18" type="noConversion"/>
  </si>
  <si>
    <t>礼乐征伐</t>
    <phoneticPr fontId="18" type="noConversion"/>
  </si>
  <si>
    <t>革除弊政</t>
    <phoneticPr fontId="18" type="noConversion"/>
  </si>
  <si>
    <t>行动：存档1张候选策略牌，弃1张手牌，然后摸1张牌。</t>
    <phoneticPr fontId="18" type="noConversion"/>
  </si>
  <si>
    <t>事件牌</t>
    <phoneticPr fontId="18" type="noConversion"/>
  </si>
  <si>
    <t>事件-艺术</t>
    <phoneticPr fontId="18" type="noConversion"/>
  </si>
  <si>
    <t>菩萨木像</t>
    <phoneticPr fontId="18" type="noConversion"/>
  </si>
  <si>
    <t>胡笳羌笛</t>
    <phoneticPr fontId="18" type="noConversion"/>
  </si>
  <si>
    <t>清商乐</t>
    <phoneticPr fontId="18" type="noConversion"/>
  </si>
  <si>
    <t>友方控制[江南]时，可以打出。存档此牌。</t>
    <phoneticPr fontId="18" type="noConversion"/>
  </si>
  <si>
    <t>草木皆兵</t>
    <phoneticPr fontId="18" type="noConversion"/>
  </si>
  <si>
    <t>事件-军事</t>
    <phoneticPr fontId="18" type="noConversion"/>
  </si>
  <si>
    <t>仅限东晋玩家打出。获得7军力。存档此牌。</t>
    <phoneticPr fontId="18" type="noConversion"/>
  </si>
  <si>
    <t>璇玑图</t>
    <phoneticPr fontId="18" type="noConversion"/>
  </si>
  <si>
    <t>投鞭断流</t>
    <phoneticPr fontId="18" type="noConversion"/>
  </si>
  <si>
    <t>仅限北方玩家打出。获得7军力。存档此牌。</t>
    <phoneticPr fontId="18" type="noConversion"/>
  </si>
  <si>
    <t>凿壁偷光</t>
    <phoneticPr fontId="18" type="noConversion"/>
  </si>
  <si>
    <t>事件-文化</t>
    <phoneticPr fontId="18" type="noConversion"/>
  </si>
  <si>
    <t>良吏</t>
    <phoneticPr fontId="18" type="noConversion"/>
  </si>
  <si>
    <t>[儒学]等级大于等于1时，可以作为事件打出。存档1张候选策略牌，提高1级[儒学]。</t>
    <phoneticPr fontId="18" type="noConversion"/>
  </si>
  <si>
    <t>葛洪</t>
    <phoneticPr fontId="18" type="noConversion"/>
  </si>
  <si>
    <t>提高1级[玄学]，获得6vp，存档此牌。</t>
    <phoneticPr fontId="18" type="noConversion"/>
  </si>
  <si>
    <t>赫连勃勃</t>
    <phoneticPr fontId="18" type="noConversion"/>
  </si>
  <si>
    <t>选择一项：将[关中]的1个地点转化为中立占据，然后将此牌洗回牌库；或者支付5军力，存档此牌。</t>
    <phoneticPr fontId="18" type="noConversion"/>
  </si>
  <si>
    <t>主动：支付2军力，将一个[江南]地点转化为中立地点。[江南][荆襄]区域每有一个中立地点，获得1vp。</t>
    <phoneticPr fontId="18" type="noConversion"/>
  </si>
  <si>
    <t>卫夫人</t>
    <phoneticPr fontId="18" type="noConversion"/>
  </si>
  <si>
    <t>慧远</t>
    <phoneticPr fontId="18" type="noConversion"/>
  </si>
  <si>
    <t>掠夺</t>
    <phoneticPr fontId="18" type="noConversion"/>
  </si>
  <si>
    <t>在国家板弃牌区加入1张[流民]，然后获得4军力。如果是北方玩家，额外获得1军力。</t>
    <phoneticPr fontId="18" type="noConversion"/>
  </si>
  <si>
    <t>徐道覆</t>
    <phoneticPr fontId="18" type="noConversion"/>
  </si>
  <si>
    <t>朱序</t>
    <phoneticPr fontId="18" type="noConversion"/>
  </si>
  <si>
    <t>免费[加固]1次。获得1军力。</t>
    <phoneticPr fontId="18" type="noConversion"/>
  </si>
  <si>
    <t>苏峻</t>
    <phoneticPr fontId="18" type="noConversion"/>
  </si>
  <si>
    <t>选择一项：支付3vp，然后获得5军力；或者支付3军力，存档此牌。</t>
    <phoneticPr fontId="18" type="noConversion"/>
  </si>
  <si>
    <t>谯纵</t>
    <phoneticPr fontId="18" type="noConversion"/>
  </si>
  <si>
    <t>遣使请降</t>
    <phoneticPr fontId="18" type="noConversion"/>
  </si>
  <si>
    <t>拥有至少7军力时，可以作为事件打出。转化1个相邻地点。</t>
    <phoneticPr fontId="18" type="noConversion"/>
  </si>
  <si>
    <t>望风而降</t>
    <phoneticPr fontId="18" type="noConversion"/>
  </si>
  <si>
    <t>王国宝</t>
    <phoneticPr fontId="18" type="noConversion"/>
  </si>
  <si>
    <t>事件-权谋</t>
    <phoneticPr fontId="18" type="noConversion"/>
  </si>
  <si>
    <t>何充</t>
    <phoneticPr fontId="18" type="noConversion"/>
  </si>
  <si>
    <t>事件牌</t>
    <phoneticPr fontId="18" type="noConversion"/>
  </si>
  <si>
    <t>事件-权谋</t>
    <phoneticPr fontId="18" type="noConversion"/>
  </si>
  <si>
    <t>刘隗</t>
    <phoneticPr fontId="18" type="noConversion"/>
  </si>
  <si>
    <t>[威望]最高的东晋玩家，失去2[威望]，获得2vp。</t>
    <phoneticPr fontId="18" type="noConversion"/>
  </si>
  <si>
    <t>杨佺期</t>
    <phoneticPr fontId="18" type="noConversion"/>
  </si>
  <si>
    <t>[僭越]转化1个东晋占据地点，然后存档此牌。</t>
    <phoneticPr fontId="18" type="noConversion"/>
  </si>
  <si>
    <t>华阳国志</t>
    <phoneticPr fontId="18" type="noConversion"/>
  </si>
  <si>
    <t>事件-VP</t>
    <phoneticPr fontId="18" type="noConversion"/>
  </si>
  <si>
    <t>孙子算经</t>
    <phoneticPr fontId="18" type="noConversion"/>
  </si>
  <si>
    <t>流芳百世</t>
    <phoneticPr fontId="18" type="noConversion"/>
  </si>
  <si>
    <t>闻鸡起舞</t>
    <phoneticPr fontId="18" type="noConversion"/>
  </si>
  <si>
    <t>事件-功能</t>
    <phoneticPr fontId="18" type="noConversion"/>
  </si>
  <si>
    <t>提高1级顺位，提高1级[佛学]，存档此牌</t>
    <phoneticPr fontId="18" type="noConversion"/>
  </si>
  <si>
    <t>标新立异</t>
    <phoneticPr fontId="18" type="noConversion"/>
  </si>
  <si>
    <t>弃置任意数量的手牌，然后摸弃置数量+1的手牌。</t>
    <phoneticPr fontId="18" type="noConversion"/>
  </si>
  <si>
    <t>大阅户人</t>
    <phoneticPr fontId="18" type="noConversion"/>
  </si>
  <si>
    <t>存档1张候选策略牌，然后获得1vp。</t>
    <phoneticPr fontId="18" type="noConversion"/>
  </si>
  <si>
    <t>一往情深</t>
    <phoneticPr fontId="18" type="noConversion"/>
  </si>
  <si>
    <t>幕僚区和存档区有3个权谋标记</t>
    <phoneticPr fontId="18" type="noConversion"/>
  </si>
  <si>
    <t>幕僚区和存档区有5个权谋标记</t>
    <phoneticPr fontId="18" type="noConversion"/>
  </si>
  <si>
    <t>行动：弃1张手牌，获得5军力。</t>
    <phoneticPr fontId="18" type="noConversion"/>
  </si>
  <si>
    <t>1军力</t>
    <phoneticPr fontId="18" type="noConversion"/>
  </si>
  <si>
    <t>木犹如此</t>
    <phoneticPr fontId="18" type="noConversion"/>
  </si>
  <si>
    <t>行动：2军力2vp，然后补充一张牌到朝堂区。</t>
    <phoneticPr fontId="18" type="noConversion"/>
  </si>
  <si>
    <t>行动：3军力，存档此牌。被动：此牌在朝堂区中时，使用快速行动执行[进军]时，减少1点费用。使用快速行动执行[占据]时，增加1点费用或支付2vp。</t>
    <phoneticPr fontId="18" type="noConversion"/>
  </si>
  <si>
    <t>事件牌</t>
    <phoneticPr fontId="18" type="noConversion"/>
  </si>
  <si>
    <t>公共</t>
    <phoneticPr fontId="18" type="noConversion"/>
  </si>
  <si>
    <t>清君侧</t>
    <phoneticPr fontId="18" type="noConversion"/>
  </si>
  <si>
    <t>出任藩镇</t>
    <phoneticPr fontId="18" type="noConversion"/>
  </si>
  <si>
    <t>事件-权谋</t>
    <phoneticPr fontId="18" type="noConversion"/>
  </si>
  <si>
    <t>仅限东晋玩家打出。降低1[威望]，转化1个司马家地点。[僭越]可以转化1个东晋玩家地点。</t>
    <phoneticPr fontId="18" type="noConversion"/>
  </si>
  <si>
    <t>皮里阳秋</t>
    <phoneticPr fontId="18" type="noConversion"/>
  </si>
  <si>
    <t>艺术创作</t>
    <phoneticPr fontId="18" type="noConversion"/>
  </si>
  <si>
    <t>整顿军队</t>
    <phoneticPr fontId="18" type="noConversion"/>
  </si>
  <si>
    <t>广开言路</t>
    <phoneticPr fontId="18" type="noConversion"/>
  </si>
  <si>
    <t>主动：1军力。登场：转化1个司马家占据地点。</t>
    <phoneticPr fontId="18" type="noConversion"/>
  </si>
  <si>
    <t>主动：1军力。被动：每次[进军]后，获得1vp。</t>
    <phoneticPr fontId="18" type="noConversion"/>
  </si>
  <si>
    <t>强制：选择1个[功绩]最高的玩家，该玩家-1[功绩]并+5vp。摸1张牌。</t>
    <phoneticPr fontId="18" type="noConversion"/>
  </si>
  <si>
    <t>行动：4军力。被动：友方占据[京口]时，才能打出。</t>
    <phoneticPr fontId="18" type="noConversion"/>
  </si>
  <si>
    <t>史书区和幕僚区有至少4个不同的符号时，可以打出。存档此牌。</t>
    <phoneticPr fontId="18" type="noConversion"/>
  </si>
  <si>
    <t>史书区有至少7张牌时，可以打出，存档此牌。</t>
    <phoneticPr fontId="18" type="noConversion"/>
  </si>
  <si>
    <t>将[巴蜀]区域的1个地点转为中立占据，然后存档此牌。</t>
    <phoneticPr fontId="18" type="noConversion"/>
  </si>
  <si>
    <t>控制[巴蜀]时，可以打出。存档此牌。</t>
    <phoneticPr fontId="18" type="noConversion"/>
  </si>
  <si>
    <t>行动：支付1vp，提高1级顺位，提高1级文化。被动：[加官进爵]不能被存档。</t>
    <phoneticPr fontId="18" type="noConversion"/>
  </si>
  <si>
    <t>行动：转化1个相邻地点。</t>
    <phoneticPr fontId="18" type="noConversion"/>
  </si>
  <si>
    <t>主动：弃1张手牌，获得1军力并补充1张牌到朝堂区。登场：转化[蓟][龙城][中山]。</t>
    <phoneticPr fontId="18" type="noConversion"/>
  </si>
  <si>
    <t>行动：2军力，存档此牌。被动：此牌在朝堂区中时，北方和晋势力不能相互使用[进军]。仅限北方势力打出。</t>
    <phoneticPr fontId="18" type="noConversion"/>
  </si>
  <si>
    <t>主动：选择1项：弃1张手牌，然后摸1张牌；或者免费执行1次[占据]。</t>
    <phoneticPr fontId="18" type="noConversion"/>
  </si>
  <si>
    <t>控制[塞外]时，可以打出。存档此牌。将部队储备区的1个部队放回游戏盒中。</t>
    <phoneticPr fontId="18" type="noConversion"/>
  </si>
  <si>
    <t>主动：获得1军力。登场：转化2个中立地点。被动：此牌离开幕僚区时，将1个己方控制地点转化为中立地点。</t>
    <phoneticPr fontId="18" type="noConversion"/>
  </si>
  <si>
    <t>幕僚区有空位时，可以打出。获得7军力。</t>
    <phoneticPr fontId="18" type="noConversion"/>
  </si>
  <si>
    <t>被动：任意玩家提高行动顺位时，获得2vp。登场：先动值1。获得2顺位，2功绩和2威望，转化[合肥][寿春]。</t>
    <phoneticPr fontId="18" type="noConversion"/>
  </si>
  <si>
    <t>被动：每次打出[艺术]牌或选择[艺术]策略时，摸1张牌。登场：可以弃1张牌，额外提高1级[玄学]。</t>
    <phoneticPr fontId="18" type="noConversion"/>
  </si>
  <si>
    <t>仅限东晋玩家打出。行动：转化1个相邻中立地点。获得1军力。</t>
    <phoneticPr fontId="18" type="noConversion"/>
  </si>
  <si>
    <t>行动：2军力。从东晋面板获得[北伐]标记。被动：[北伐]不能被存档。</t>
    <phoneticPr fontId="18" type="noConversion"/>
  </si>
  <si>
    <t>被动：每次获得功绩后，摸1张牌。登场：先动值8。获得2功绩。在其他东晋玩家完成登场效果后，转化2个[建康]以外的司马家地点。</t>
    <phoneticPr fontId="18" type="noConversion"/>
  </si>
  <si>
    <t>主动：弃置1张朝堂区的[流民]，然后补充1张牌到朝堂区，获得1军力。登场：先动值5。转化[京口][广陵]。获得1功绩和1威望。</t>
    <phoneticPr fontId="18" type="noConversion"/>
  </si>
  <si>
    <t>主动：选择1项：弃1张手牌，然后摸1张牌；或者弃置1张候选策略牌，然后补充1张牌到朝堂区。</t>
    <phoneticPr fontId="18" type="noConversion"/>
  </si>
  <si>
    <t>被动：每次打出[文化]牌或者执行[文化]策略时，获得2vp。登场：先动值3。转化[张掖][姑臧]。获得1功绩和1威望。</t>
    <phoneticPr fontId="18" type="noConversion"/>
  </si>
  <si>
    <t>如果有一条从[姑臧]到[建康]的全部地点被东晋势力占据的线路，可以打出，然后存档此牌。</t>
    <phoneticPr fontId="18" type="noConversion"/>
  </si>
  <si>
    <t>行动：5军力。被动：需要友方占据[姑臧]及相邻的1个地点，才能打出。</t>
    <phoneticPr fontId="18" type="noConversion"/>
  </si>
  <si>
    <t>主动：1军力。被动：每次打出[军事]牌或执行[军事]策略后，获得1vp。</t>
    <phoneticPr fontId="18" type="noConversion"/>
  </si>
  <si>
    <t>被动：每次存档1张没有[艺术]标记的牌时，获得3vp。登场：先动值4。转化[南郡][襄阳]。获得1功绩和1威望。</t>
    <phoneticPr fontId="18" type="noConversion"/>
  </si>
  <si>
    <t>主动：执行1次免费[进军]。登场：先动值7。</t>
    <phoneticPr fontId="18" type="noConversion"/>
  </si>
  <si>
    <t>主动：摸1张牌。</t>
    <phoneticPr fontId="18" type="noConversion"/>
  </si>
  <si>
    <t>仅限东晋玩家打出。行动：3军力。[僭越]其他每个东晋玩家各弃1张手牌。2军力。</t>
    <phoneticPr fontId="18" type="noConversion"/>
  </si>
  <si>
    <t>被动：每次执行转化后，摸1张牌并获得1vp。登场：先动值6。获得4军力。获得2威望。</t>
    <phoneticPr fontId="18" type="noConversion"/>
  </si>
  <si>
    <t>主动：支付2军力，然后转化1个相邻中立地点。</t>
    <phoneticPr fontId="18" type="noConversion"/>
  </si>
  <si>
    <t>被动：每次执行[内政]策略或者打出[内政]牌时，获得2vp。登场：先动值2。转化[吴][会稽]。获得1功绩和1威望。</t>
    <phoneticPr fontId="18" type="noConversion"/>
  </si>
  <si>
    <t>仅限东晋玩家打出。控制[洛阳]时，可以打出。存档此牌。[僭越]交换东晋首都和洛阳的部队。获得1[威望]。</t>
    <phoneticPr fontId="18" type="noConversion"/>
  </si>
  <si>
    <t>友方控制[巴蜀]时，可以打出。存档此牌，提高1级[儒学]。</t>
    <phoneticPr fontId="18" type="noConversion"/>
  </si>
  <si>
    <t>史书区和幕僚区有至少3个艺术符号时，可以打出，存档此牌。</t>
    <phoneticPr fontId="18" type="noConversion"/>
  </si>
  <si>
    <t>存档此牌。</t>
    <phoneticPr fontId="18" type="noConversion"/>
  </si>
  <si>
    <t>存档此牌。终局：每在1个区域占据至少1个地点，额外获得1vp。</t>
    <phoneticPr fontId="18" type="noConversion"/>
  </si>
  <si>
    <t>仅限东晋玩家打出。转化1个东晋地点，然后存档此牌。[僭越]获得3vp。</t>
    <phoneticPr fontId="18" type="noConversion"/>
  </si>
  <si>
    <t>仅限东晋玩家打出。支付2vp，然后转化1个东晋地点。</t>
    <phoneticPr fontId="18" type="noConversion"/>
  </si>
  <si>
    <t>仅限东晋玩家打出。提高1级顺位。</t>
    <phoneticPr fontId="18" type="noConversion"/>
  </si>
  <si>
    <t>选择1个东晋玩家，随机弃掉他的1张手牌。获得2vp。[僭越]改为随机弃掉2张。</t>
    <phoneticPr fontId="18" type="noConversion"/>
  </si>
  <si>
    <t>支付1军力，然后提高1级顺位，提高1级[玄学]。</t>
    <phoneticPr fontId="18" type="noConversion"/>
  </si>
  <si>
    <t>被动：每次提高顺位等级时，弃1张牌，然后摸1张牌。登场：弃1张牌，然后摸1张牌。</t>
    <phoneticPr fontId="18" type="noConversion"/>
  </si>
  <si>
    <t>主动：没有手牌时可以使用，摸1张牌。</t>
    <phoneticPr fontId="18" type="noConversion"/>
  </si>
  <si>
    <t>每当友方提高1级文化等级时，获得1vp。</t>
    <phoneticPr fontId="18" type="noConversion"/>
  </si>
  <si>
    <t>行动：获得2军力。执行1次免费[加固]行动。</t>
    <phoneticPr fontId="18" type="noConversion"/>
  </si>
  <si>
    <t>行动：2军力。弃掉1张[流民]并在展示区补1张牌，获得2军力。</t>
    <phoneticPr fontId="18" type="noConversion"/>
  </si>
  <si>
    <t>东晋行动：2军力。执行1次免费[加固]行动。北方行动：转化1个相邻中立地点。</t>
    <phoneticPr fontId="18" type="noConversion"/>
  </si>
  <si>
    <t>占据[长安]时，可以打出。提高2级[佛学]，存档此牌。</t>
    <phoneticPr fontId="18" type="noConversion"/>
  </si>
  <si>
    <t>选择1个非东晋占据的地点，转为司马家占据。获得3vp。[僭越]改为玩家占据。</t>
    <phoneticPr fontId="18" type="noConversion"/>
  </si>
  <si>
    <t>强制：东晋行动顺位最高的玩家和北方玩家，各选择1个非友方地点转为中立控制。在东晋和北方弃牌区各放置1张[流民]。摸1张牌。</t>
    <phoneticPr fontId="18" type="noConversion"/>
  </si>
  <si>
    <t>行动：3军力。指定1个玩家，随机弃掉1张手牌。被动：需要占据至少5个[巴蜀][荆襄][江南][淮南]以外的地点，才能打出。</t>
    <phoneticPr fontId="18" type="noConversion"/>
  </si>
  <si>
    <t>占据[荆襄]区域任何地点时，可以打出，获得2军力，然后存档此牌。</t>
    <phoneticPr fontId="18" type="noConversion"/>
  </si>
  <si>
    <t>摸两张牌。</t>
    <phoneticPr fontId="18" type="noConversion"/>
  </si>
  <si>
    <t>3军力。</t>
    <phoneticPr fontId="18" type="noConversion"/>
  </si>
  <si>
    <t>阳骛</t>
    <phoneticPr fontId="18" type="noConversion"/>
  </si>
  <si>
    <t>检索[权谋]，然后存档此牌。</t>
    <phoneticPr fontId="18" type="noConversion"/>
  </si>
  <si>
    <t>行动：提高1级[佛学]，获得4vp。</t>
    <phoneticPr fontId="18" type="noConversion"/>
  </si>
  <si>
    <t>行动：提高1级[儒学]，获得3vp。被动：打出时，提高1级[儒学]。</t>
    <phoneticPr fontId="18" type="noConversion"/>
  </si>
  <si>
    <t>行动：提高1级[玄学]，提高1级顺位。被动：仅限东晋玩家打出。</t>
    <phoneticPr fontId="18" type="noConversion"/>
  </si>
  <si>
    <t>提高1级[玄学]，然后存档此牌。</t>
    <phoneticPr fontId="18" type="noConversion"/>
  </si>
  <si>
    <t>行动：选择另一名玩家，提高1级[佛学]。获得8vp。</t>
    <phoneticPr fontId="18" type="noConversion"/>
  </si>
  <si>
    <t>行动：弃1张手牌，存档1张候选策略牌，提高1级[儒学]。</t>
    <phoneticPr fontId="18" type="noConversion"/>
  </si>
  <si>
    <t>仅限东晋玩家打出。提高1级顺位，然后存档此牌。[僭越]获得3vp。</t>
    <phoneticPr fontId="18" type="noConversion"/>
  </si>
  <si>
    <t>行动：存档1张候选策略牌，获得1vp。被动：打出时，提高1级[儒学]。</t>
    <phoneticPr fontId="18" type="noConversion"/>
  </si>
  <si>
    <t>提高1级[佛学]，然后存档此牌。</t>
    <phoneticPr fontId="18" type="noConversion"/>
  </si>
  <si>
    <t>行动：提高1级[佛学]。获得3vp。</t>
    <phoneticPr fontId="18" type="noConversion"/>
  </si>
  <si>
    <t>行动：进行1次免费[占据]，放置司马家部队，提高1级司马家[威望]。获得1军力，提高1级[儒学]，获得5vp。</t>
    <phoneticPr fontId="18" type="noConversion"/>
  </si>
  <si>
    <t>选择一项：将[江南]或[荆襄]的1个地点转化为中立占据，然后将此牌洗回牌库；或者支付4军力，存档此牌。</t>
    <phoneticPr fontId="18" type="noConversion"/>
  </si>
  <si>
    <t>行动：5军力。被动：需要占据[蓟]及相邻的1个地点，才能打出。</t>
    <phoneticPr fontId="18" type="noConversion"/>
  </si>
  <si>
    <t>主动：弃1张手牌，然后从展示区获得2张牌。登场：转化[长安][弘农][安定]</t>
    <phoneticPr fontId="18" type="noConversion"/>
  </si>
  <si>
    <t>6/16</t>
    <phoneticPr fontId="18" type="noConversion"/>
  </si>
  <si>
    <t>16/22</t>
    <phoneticPr fontId="18" type="noConversion"/>
  </si>
  <si>
    <t>14/20</t>
    <phoneticPr fontId="18" type="noConversion"/>
  </si>
  <si>
    <t>11/16</t>
    <phoneticPr fontId="18" type="noConversion"/>
  </si>
  <si>
    <t>12/30</t>
    <phoneticPr fontId="18" type="noConversion"/>
  </si>
  <si>
    <t>儒学等级超过5，且儒学是第一名文化</t>
    <phoneticPr fontId="18" type="noConversion"/>
  </si>
  <si>
    <t>玄学等级超过5，且玄学是第一名文化</t>
    <phoneticPr fontId="18" type="noConversion"/>
  </si>
  <si>
    <t>佛学等级超过5，且佛学是第一名文化</t>
    <phoneticPr fontId="18" type="noConversion"/>
  </si>
  <si>
    <t>东晋控制[荆襄]区域</t>
    <phoneticPr fontId="18" type="noConversion"/>
  </si>
  <si>
    <t>玩家控制[荆襄]区域</t>
    <phoneticPr fontId="18" type="noConversion"/>
  </si>
  <si>
    <t>提高1级文化，获得2vp。</t>
    <phoneticPr fontId="18" type="noConversion"/>
  </si>
  <si>
    <t>获得6vp。</t>
    <phoneticPr fontId="18" type="noConversion"/>
  </si>
  <si>
    <t>弃1张手牌，然后摸3张牌。</t>
    <phoneticPr fontId="18" type="noConversion"/>
  </si>
  <si>
    <t>著书立说</t>
    <phoneticPr fontId="18" type="noConversion"/>
  </si>
  <si>
    <t>事件-权谋</t>
    <phoneticPr fontId="18" type="noConversion"/>
  </si>
  <si>
    <t>不越雷池半步</t>
    <phoneticPr fontId="18" type="noConversion"/>
  </si>
  <si>
    <t>事件牌</t>
    <phoneticPr fontId="18" type="noConversion"/>
  </si>
  <si>
    <t>仅限东晋玩家打出。选择1个东晋玩家，降低1级顺位，然后存档此牌。[僭越]额外降低1级顺位。</t>
    <phoneticPr fontId="18" type="noConversion"/>
  </si>
  <si>
    <t>主动：弃1张手牌，然后获得2军力。登场：转化[盛乐][平城]，获得4军力。</t>
    <phoneticPr fontId="18" type="noConversion"/>
  </si>
  <si>
    <t>仅限东晋玩家打出。支付7军力，每占据1个和首都相邻的地点，减少1点军力费用。获得1威望。选择一项：选择1个东晋玩家，失去2威望；或者其他东晋玩家和司马家各失去1威望。[僭越]获得4vp。</t>
    <phoneticPr fontId="18" type="noConversion"/>
  </si>
  <si>
    <t>控制[西凉]时，可以打出。存档此牌。将部队储备区的2个部队放回游戏盒中。</t>
    <phoneticPr fontId="18" type="noConversion"/>
  </si>
  <si>
    <t>控制[幽燕]时，可以打出。存档此牌。将部队储备区的2个部队放回游戏盒中。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</si>
</sst>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49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D2AC-3DB2-4150-B4F1-18D43C823332}">
  <dimension ref="A1:AK151"/>
  <sheetViews>
    <sheetView tabSelected="1" zoomScale="125" zoomScaleNormal="125" workbookViewId="0">
      <pane xSplit="2" ySplit="2" topLeftCell="C84" activePane="bottomRight" state="frozen"/>
      <selection pane="topRight" activeCell="C1" sqref="C1"/>
      <selection pane="bottomLeft" activeCell="A3" sqref="A3"/>
      <selection pane="bottomRight" activeCell="H67" sqref="H67"/>
    </sheetView>
  </sheetViews>
  <sheetFormatPr defaultRowHeight="14" x14ac:dyDescent="0.3"/>
  <cols>
    <col min="3" max="3" width="8.75" customWidth="1"/>
    <col min="5" max="5" width="10.1640625" customWidth="1"/>
    <col min="6" max="6" width="65.83203125" customWidth="1"/>
    <col min="7" max="27" width="8.6640625" customWidth="1"/>
    <col min="31" max="31" width="8.664062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209</v>
      </c>
      <c r="F1" t="s">
        <v>301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215</v>
      </c>
      <c r="M1" t="s">
        <v>9</v>
      </c>
      <c r="N1" t="s">
        <v>99</v>
      </c>
      <c r="O1" t="s">
        <v>100</v>
      </c>
      <c r="P1" t="s">
        <v>115</v>
      </c>
      <c r="Q1" t="s">
        <v>220</v>
      </c>
      <c r="R1" t="s">
        <v>177</v>
      </c>
      <c r="S1" t="s">
        <v>178</v>
      </c>
      <c r="T1" t="s">
        <v>179</v>
      </c>
      <c r="U1" t="s">
        <v>213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190</v>
      </c>
      <c r="AE1" t="s">
        <v>188</v>
      </c>
      <c r="AF1" t="s">
        <v>214</v>
      </c>
      <c r="AG1" t="s">
        <v>389</v>
      </c>
      <c r="AH1" t="s">
        <v>189</v>
      </c>
      <c r="AI1" t="s">
        <v>197</v>
      </c>
      <c r="AJ1" t="s">
        <v>198</v>
      </c>
      <c r="AK1" t="s">
        <v>199</v>
      </c>
    </row>
    <row r="2" spans="1:37" x14ac:dyDescent="0.3">
      <c r="A2" t="s">
        <v>10</v>
      </c>
      <c r="C2" s="1">
        <f>AVERAGE(C3:C165)</f>
        <v>1.4492753623188406</v>
      </c>
      <c r="I2">
        <f t="shared" ref="I2:P2" si="0">SUM(I3:I165)</f>
        <v>22</v>
      </c>
      <c r="J2">
        <f t="shared" si="0"/>
        <v>42</v>
      </c>
      <c r="K2">
        <f t="shared" si="0"/>
        <v>18</v>
      </c>
      <c r="L2">
        <f t="shared" si="0"/>
        <v>21</v>
      </c>
      <c r="M2">
        <f t="shared" si="0"/>
        <v>23</v>
      </c>
      <c r="N2">
        <f t="shared" si="0"/>
        <v>14</v>
      </c>
      <c r="O2">
        <f t="shared" si="0"/>
        <v>3</v>
      </c>
      <c r="P2">
        <f t="shared" si="0"/>
        <v>12</v>
      </c>
      <c r="R2">
        <f t="shared" ref="R2:AG2" si="1">SUM(R3:R165)</f>
        <v>10</v>
      </c>
      <c r="S2">
        <f t="shared" si="1"/>
        <v>7</v>
      </c>
      <c r="T2">
        <f t="shared" si="1"/>
        <v>7</v>
      </c>
      <c r="U2">
        <f t="shared" si="1"/>
        <v>6</v>
      </c>
      <c r="V2">
        <f t="shared" si="1"/>
        <v>12</v>
      </c>
      <c r="W2">
        <f t="shared" si="1"/>
        <v>8</v>
      </c>
      <c r="X2">
        <f t="shared" si="1"/>
        <v>10</v>
      </c>
      <c r="Y2">
        <f t="shared" si="1"/>
        <v>10</v>
      </c>
      <c r="Z2">
        <f t="shared" si="1"/>
        <v>5</v>
      </c>
      <c r="AA2">
        <f t="shared" si="1"/>
        <v>15</v>
      </c>
      <c r="AB2">
        <f t="shared" si="1"/>
        <v>10</v>
      </c>
      <c r="AC2">
        <f t="shared" si="1"/>
        <v>5</v>
      </c>
      <c r="AD2">
        <f t="shared" si="1"/>
        <v>5</v>
      </c>
      <c r="AE2">
        <f t="shared" si="1"/>
        <v>5</v>
      </c>
      <c r="AF2">
        <f t="shared" si="1"/>
        <v>10</v>
      </c>
      <c r="AG2">
        <f t="shared" si="1"/>
        <v>6</v>
      </c>
      <c r="AH2">
        <f>SUM(R2:AG2)</f>
        <v>131</v>
      </c>
      <c r="AI2">
        <f>SUM(AI3:AI165)</f>
        <v>6</v>
      </c>
      <c r="AJ2">
        <f>SUM(AJ3:AJ165)</f>
        <v>4</v>
      </c>
      <c r="AK2">
        <f>SUM(AK3:AK165)</f>
        <v>6</v>
      </c>
    </row>
    <row r="3" spans="1:37" x14ac:dyDescent="0.3">
      <c r="A3" t="s">
        <v>11</v>
      </c>
      <c r="B3" t="s">
        <v>12</v>
      </c>
      <c r="C3">
        <v>0</v>
      </c>
      <c r="D3" t="s">
        <v>13</v>
      </c>
      <c r="E3" t="s">
        <v>210</v>
      </c>
      <c r="F3" t="s">
        <v>14</v>
      </c>
      <c r="G3" t="s">
        <v>15</v>
      </c>
      <c r="H3">
        <v>2</v>
      </c>
      <c r="Q3">
        <f>SUM(R3:AF3)</f>
        <v>0</v>
      </c>
    </row>
    <row r="4" spans="1:37" x14ac:dyDescent="0.3">
      <c r="B4" t="s">
        <v>16</v>
      </c>
      <c r="C4">
        <v>0</v>
      </c>
      <c r="D4" t="s">
        <v>13</v>
      </c>
      <c r="E4" t="s">
        <v>210</v>
      </c>
      <c r="F4" t="s">
        <v>17</v>
      </c>
      <c r="G4" t="s">
        <v>18</v>
      </c>
      <c r="H4">
        <v>2</v>
      </c>
      <c r="Q4">
        <f t="shared" ref="Q4:Q67" si="2">SUM(R4:AF4)</f>
        <v>0</v>
      </c>
    </row>
    <row r="5" spans="1:37" x14ac:dyDescent="0.3">
      <c r="B5" t="s">
        <v>19</v>
      </c>
      <c r="C5">
        <v>0</v>
      </c>
      <c r="D5" t="s">
        <v>13</v>
      </c>
      <c r="E5" t="s">
        <v>210</v>
      </c>
      <c r="F5" t="s">
        <v>77</v>
      </c>
      <c r="G5" t="s">
        <v>20</v>
      </c>
      <c r="H5">
        <v>2</v>
      </c>
      <c r="M5">
        <v>1</v>
      </c>
      <c r="Q5">
        <f t="shared" si="2"/>
        <v>0</v>
      </c>
    </row>
    <row r="6" spans="1:37" x14ac:dyDescent="0.3">
      <c r="B6" t="s">
        <v>21</v>
      </c>
      <c r="C6">
        <v>0</v>
      </c>
      <c r="D6" t="s">
        <v>13</v>
      </c>
      <c r="E6" t="s">
        <v>210</v>
      </c>
      <c r="F6" t="s">
        <v>22</v>
      </c>
      <c r="G6" t="s">
        <v>20</v>
      </c>
      <c r="H6">
        <v>2</v>
      </c>
      <c r="Q6">
        <f t="shared" si="2"/>
        <v>0</v>
      </c>
    </row>
    <row r="7" spans="1:37" x14ac:dyDescent="0.3">
      <c r="B7" t="s">
        <v>23</v>
      </c>
      <c r="C7">
        <v>1</v>
      </c>
      <c r="D7" t="s">
        <v>13</v>
      </c>
      <c r="E7" t="s">
        <v>210</v>
      </c>
      <c r="F7" t="s">
        <v>417</v>
      </c>
      <c r="G7" t="s">
        <v>78</v>
      </c>
      <c r="H7">
        <v>0</v>
      </c>
      <c r="J7">
        <v>1</v>
      </c>
      <c r="Q7">
        <f t="shared" si="2"/>
        <v>0</v>
      </c>
    </row>
    <row r="8" spans="1:37" x14ac:dyDescent="0.3">
      <c r="B8" t="s">
        <v>25</v>
      </c>
      <c r="C8">
        <v>1</v>
      </c>
      <c r="D8" t="s">
        <v>13</v>
      </c>
      <c r="E8" t="s">
        <v>210</v>
      </c>
      <c r="F8" t="s">
        <v>406</v>
      </c>
      <c r="G8" t="s">
        <v>79</v>
      </c>
      <c r="H8">
        <v>0</v>
      </c>
      <c r="I8">
        <v>1</v>
      </c>
      <c r="L8">
        <v>1</v>
      </c>
      <c r="Q8">
        <f t="shared" si="2"/>
        <v>0</v>
      </c>
    </row>
    <row r="9" spans="1:37" x14ac:dyDescent="0.3">
      <c r="B9" t="s">
        <v>26</v>
      </c>
      <c r="C9">
        <v>2</v>
      </c>
      <c r="D9" t="s">
        <v>13</v>
      </c>
      <c r="E9" t="s">
        <v>210</v>
      </c>
      <c r="F9" t="s">
        <v>81</v>
      </c>
      <c r="G9" t="s">
        <v>24</v>
      </c>
      <c r="H9">
        <v>-6</v>
      </c>
      <c r="J9">
        <v>1</v>
      </c>
      <c r="Q9">
        <f t="shared" si="2"/>
        <v>0</v>
      </c>
    </row>
    <row r="10" spans="1:37" x14ac:dyDescent="0.3">
      <c r="A10" t="s">
        <v>27</v>
      </c>
      <c r="B10" t="s">
        <v>27</v>
      </c>
      <c r="C10" t="s">
        <v>15</v>
      </c>
      <c r="D10" t="s">
        <v>28</v>
      </c>
      <c r="E10" t="s">
        <v>211</v>
      </c>
      <c r="F10" t="s">
        <v>470</v>
      </c>
      <c r="Q10">
        <f t="shared" si="2"/>
        <v>0</v>
      </c>
    </row>
    <row r="11" spans="1:37" x14ac:dyDescent="0.3">
      <c r="B11" t="s">
        <v>29</v>
      </c>
      <c r="C11">
        <v>3</v>
      </c>
      <c r="D11" t="s">
        <v>30</v>
      </c>
      <c r="E11" t="s">
        <v>177</v>
      </c>
      <c r="F11" t="s">
        <v>82</v>
      </c>
      <c r="H11">
        <v>6</v>
      </c>
      <c r="J11">
        <v>1</v>
      </c>
      <c r="Q11">
        <f t="shared" si="2"/>
        <v>1</v>
      </c>
      <c r="R11">
        <v>1</v>
      </c>
    </row>
    <row r="12" spans="1:37" x14ac:dyDescent="0.3">
      <c r="B12" t="s">
        <v>41</v>
      </c>
      <c r="C12">
        <v>2</v>
      </c>
      <c r="D12" t="s">
        <v>30</v>
      </c>
      <c r="E12" t="s">
        <v>179</v>
      </c>
      <c r="F12" t="s">
        <v>42</v>
      </c>
      <c r="G12" t="s">
        <v>15</v>
      </c>
      <c r="H12">
        <v>6</v>
      </c>
      <c r="M12">
        <v>1</v>
      </c>
      <c r="Q12">
        <f t="shared" si="2"/>
        <v>1</v>
      </c>
      <c r="T12">
        <v>1</v>
      </c>
    </row>
    <row r="13" spans="1:37" x14ac:dyDescent="0.3">
      <c r="B13" t="s">
        <v>110</v>
      </c>
      <c r="C13">
        <v>2</v>
      </c>
      <c r="D13" t="s">
        <v>102</v>
      </c>
      <c r="E13" t="s">
        <v>182</v>
      </c>
      <c r="F13" t="s">
        <v>407</v>
      </c>
      <c r="G13" t="s">
        <v>111</v>
      </c>
      <c r="H13">
        <v>-6</v>
      </c>
      <c r="J13">
        <v>1</v>
      </c>
      <c r="Q13">
        <f t="shared" si="2"/>
        <v>1</v>
      </c>
      <c r="X13">
        <v>1</v>
      </c>
    </row>
    <row r="14" spans="1:37" x14ac:dyDescent="0.3">
      <c r="A14" t="s">
        <v>31</v>
      </c>
      <c r="B14" t="s">
        <v>32</v>
      </c>
      <c r="C14" t="s">
        <v>15</v>
      </c>
      <c r="D14" t="s">
        <v>28</v>
      </c>
      <c r="E14" t="s">
        <v>211</v>
      </c>
      <c r="F14" t="s">
        <v>408</v>
      </c>
      <c r="Q14">
        <f t="shared" si="2"/>
        <v>0</v>
      </c>
    </row>
    <row r="15" spans="1:37" x14ac:dyDescent="0.3">
      <c r="B15" t="s">
        <v>33</v>
      </c>
      <c r="C15">
        <v>1</v>
      </c>
      <c r="D15" t="s">
        <v>13</v>
      </c>
      <c r="E15" t="s">
        <v>182</v>
      </c>
      <c r="F15" t="s">
        <v>409</v>
      </c>
      <c r="G15" t="s">
        <v>34</v>
      </c>
      <c r="H15">
        <v>4</v>
      </c>
      <c r="L15">
        <v>1</v>
      </c>
      <c r="O15">
        <v>1</v>
      </c>
      <c r="Q15">
        <f t="shared" si="2"/>
        <v>1</v>
      </c>
      <c r="X15">
        <v>1</v>
      </c>
    </row>
    <row r="16" spans="1:37" x14ac:dyDescent="0.3">
      <c r="B16" t="s">
        <v>35</v>
      </c>
      <c r="C16">
        <v>3</v>
      </c>
      <c r="D16" t="s">
        <v>13</v>
      </c>
      <c r="E16" t="s">
        <v>180</v>
      </c>
      <c r="F16" t="s">
        <v>469</v>
      </c>
      <c r="G16" t="s">
        <v>280</v>
      </c>
      <c r="H16">
        <v>-12</v>
      </c>
      <c r="J16">
        <v>1</v>
      </c>
      <c r="Q16">
        <f t="shared" si="2"/>
        <v>1</v>
      </c>
      <c r="V16">
        <v>1</v>
      </c>
    </row>
    <row r="17" spans="1:28" x14ac:dyDescent="0.3">
      <c r="B17" t="s">
        <v>88</v>
      </c>
      <c r="C17">
        <v>3</v>
      </c>
      <c r="D17" t="s">
        <v>89</v>
      </c>
      <c r="E17" t="s">
        <v>177</v>
      </c>
      <c r="F17" t="s">
        <v>112</v>
      </c>
      <c r="H17">
        <v>6</v>
      </c>
      <c r="M17">
        <v>1</v>
      </c>
      <c r="Q17">
        <f t="shared" si="2"/>
        <v>1</v>
      </c>
      <c r="R17">
        <v>1</v>
      </c>
    </row>
    <row r="18" spans="1:28" x14ac:dyDescent="0.3">
      <c r="A18" t="s">
        <v>36</v>
      </c>
      <c r="B18" t="s">
        <v>37</v>
      </c>
      <c r="C18" t="s">
        <v>15</v>
      </c>
      <c r="D18" t="s">
        <v>28</v>
      </c>
      <c r="E18" t="s">
        <v>211</v>
      </c>
      <c r="F18" t="s">
        <v>489</v>
      </c>
      <c r="Q18">
        <f t="shared" si="2"/>
        <v>0</v>
      </c>
    </row>
    <row r="19" spans="1:28" x14ac:dyDescent="0.3">
      <c r="B19" t="s">
        <v>38</v>
      </c>
      <c r="C19">
        <v>2</v>
      </c>
      <c r="D19" t="s">
        <v>13</v>
      </c>
      <c r="E19" t="s">
        <v>182</v>
      </c>
      <c r="F19" t="s">
        <v>387</v>
      </c>
      <c r="G19" t="s">
        <v>76</v>
      </c>
      <c r="H19">
        <v>4</v>
      </c>
      <c r="J19">
        <v>1</v>
      </c>
      <c r="O19">
        <v>1</v>
      </c>
      <c r="Q19">
        <f t="shared" si="2"/>
        <v>1</v>
      </c>
      <c r="X19">
        <v>1</v>
      </c>
    </row>
    <row r="20" spans="1:28" x14ac:dyDescent="0.3">
      <c r="B20" t="s">
        <v>96</v>
      </c>
      <c r="C20">
        <v>1</v>
      </c>
      <c r="D20" t="s">
        <v>89</v>
      </c>
      <c r="E20" t="s">
        <v>178</v>
      </c>
      <c r="F20" t="s">
        <v>410</v>
      </c>
      <c r="H20">
        <v>3</v>
      </c>
      <c r="M20">
        <v>1</v>
      </c>
      <c r="Q20">
        <f t="shared" si="2"/>
        <v>1</v>
      </c>
      <c r="S20">
        <v>1</v>
      </c>
    </row>
    <row r="21" spans="1:28" x14ac:dyDescent="0.3">
      <c r="B21" t="s">
        <v>284</v>
      </c>
      <c r="C21">
        <v>1</v>
      </c>
      <c r="D21" t="s">
        <v>86</v>
      </c>
      <c r="E21" t="s">
        <v>186</v>
      </c>
      <c r="F21" t="s">
        <v>411</v>
      </c>
      <c r="H21">
        <v>5</v>
      </c>
      <c r="J21">
        <v>1</v>
      </c>
      <c r="Q21">
        <f t="shared" ref="Q21" si="3">SUM(R21:AF21)</f>
        <v>1</v>
      </c>
      <c r="AB21">
        <v>1</v>
      </c>
    </row>
    <row r="22" spans="1:28" x14ac:dyDescent="0.3">
      <c r="A22" t="s">
        <v>39</v>
      </c>
      <c r="B22" t="s">
        <v>40</v>
      </c>
      <c r="C22">
        <v>3</v>
      </c>
      <c r="D22" t="s">
        <v>30</v>
      </c>
      <c r="E22" t="s">
        <v>179</v>
      </c>
      <c r="F22" t="s">
        <v>412</v>
      </c>
      <c r="G22" t="s">
        <v>15</v>
      </c>
      <c r="H22">
        <v>6</v>
      </c>
      <c r="J22">
        <v>1</v>
      </c>
      <c r="Q22">
        <f t="shared" si="2"/>
        <v>1</v>
      </c>
      <c r="T22">
        <v>1</v>
      </c>
    </row>
    <row r="23" spans="1:28" x14ac:dyDescent="0.3">
      <c r="B23" t="s">
        <v>104</v>
      </c>
      <c r="C23">
        <v>2</v>
      </c>
      <c r="D23" t="s">
        <v>89</v>
      </c>
      <c r="E23" t="s">
        <v>213</v>
      </c>
      <c r="F23" t="s">
        <v>105</v>
      </c>
      <c r="H23">
        <v>5</v>
      </c>
      <c r="I23">
        <v>1</v>
      </c>
      <c r="Q23">
        <f t="shared" si="2"/>
        <v>1</v>
      </c>
      <c r="U23">
        <v>1</v>
      </c>
    </row>
    <row r="24" spans="1:28" x14ac:dyDescent="0.3">
      <c r="B24" t="s">
        <v>270</v>
      </c>
      <c r="C24">
        <v>2</v>
      </c>
      <c r="D24" t="s">
        <v>265</v>
      </c>
      <c r="E24" t="s">
        <v>266</v>
      </c>
      <c r="F24" t="s">
        <v>271</v>
      </c>
      <c r="H24">
        <v>5</v>
      </c>
      <c r="L24">
        <v>1</v>
      </c>
      <c r="O24">
        <v>1</v>
      </c>
      <c r="Q24">
        <f>SUM(R24:AF24)</f>
        <v>1</v>
      </c>
      <c r="T24">
        <v>1</v>
      </c>
    </row>
    <row r="25" spans="1:28" x14ac:dyDescent="0.3">
      <c r="B25" t="s">
        <v>80</v>
      </c>
      <c r="C25">
        <v>3</v>
      </c>
      <c r="D25" t="s">
        <v>217</v>
      </c>
      <c r="E25" t="s">
        <v>179</v>
      </c>
      <c r="F25" t="s">
        <v>346</v>
      </c>
      <c r="H25">
        <v>6</v>
      </c>
      <c r="Q25">
        <f>SUM(R25:AF25)</f>
        <v>1</v>
      </c>
      <c r="T25">
        <v>1</v>
      </c>
    </row>
    <row r="26" spans="1:28" x14ac:dyDescent="0.3">
      <c r="B26" t="s">
        <v>90</v>
      </c>
      <c r="C26">
        <v>3</v>
      </c>
      <c r="D26" t="s">
        <v>86</v>
      </c>
      <c r="E26" t="s">
        <v>185</v>
      </c>
      <c r="F26" t="s">
        <v>413</v>
      </c>
      <c r="J26">
        <v>1</v>
      </c>
      <c r="Q26">
        <f t="shared" si="2"/>
        <v>1</v>
      </c>
      <c r="AA26">
        <v>1</v>
      </c>
    </row>
    <row r="27" spans="1:28" x14ac:dyDescent="0.3">
      <c r="A27" t="s">
        <v>43</v>
      </c>
      <c r="B27" t="s">
        <v>43</v>
      </c>
      <c r="C27" t="s">
        <v>15</v>
      </c>
      <c r="D27" t="s">
        <v>28</v>
      </c>
      <c r="E27" t="s">
        <v>212</v>
      </c>
      <c r="F27" t="s">
        <v>414</v>
      </c>
      <c r="Q27">
        <f t="shared" si="2"/>
        <v>0</v>
      </c>
    </row>
    <row r="28" spans="1:28" x14ac:dyDescent="0.3">
      <c r="B28" t="s">
        <v>44</v>
      </c>
      <c r="C28">
        <v>3</v>
      </c>
      <c r="D28" t="s">
        <v>30</v>
      </c>
      <c r="E28" t="s">
        <v>213</v>
      </c>
      <c r="F28" t="s">
        <v>415</v>
      </c>
      <c r="G28" t="s">
        <v>15</v>
      </c>
      <c r="H28">
        <v>6</v>
      </c>
      <c r="K28">
        <v>1</v>
      </c>
      <c r="Q28">
        <f t="shared" si="2"/>
        <v>1</v>
      </c>
      <c r="U28">
        <v>1</v>
      </c>
    </row>
    <row r="29" spans="1:28" ht="13.5" customHeight="1" x14ac:dyDescent="0.3">
      <c r="B29" t="s">
        <v>45</v>
      </c>
      <c r="C29">
        <v>3</v>
      </c>
      <c r="D29" t="s">
        <v>30</v>
      </c>
      <c r="E29" t="s">
        <v>179</v>
      </c>
      <c r="F29" t="s">
        <v>83</v>
      </c>
      <c r="G29" t="s">
        <v>15</v>
      </c>
      <c r="H29">
        <v>8</v>
      </c>
      <c r="L29">
        <v>1</v>
      </c>
      <c r="Q29">
        <f t="shared" si="2"/>
        <v>1</v>
      </c>
      <c r="T29">
        <v>1</v>
      </c>
    </row>
    <row r="30" spans="1:28" x14ac:dyDescent="0.3">
      <c r="B30" t="s">
        <v>290</v>
      </c>
      <c r="C30">
        <v>2</v>
      </c>
      <c r="D30" t="s">
        <v>291</v>
      </c>
      <c r="E30" t="s">
        <v>292</v>
      </c>
      <c r="F30" t="s">
        <v>416</v>
      </c>
      <c r="G30" t="s">
        <v>293</v>
      </c>
      <c r="H30">
        <v>-6</v>
      </c>
      <c r="M30">
        <v>1</v>
      </c>
      <c r="N30">
        <v>1</v>
      </c>
      <c r="Q30">
        <f t="shared" si="2"/>
        <v>1</v>
      </c>
      <c r="X30">
        <v>1</v>
      </c>
    </row>
    <row r="31" spans="1:28" x14ac:dyDescent="0.3">
      <c r="A31" t="s">
        <v>46</v>
      </c>
      <c r="B31" t="s">
        <v>207</v>
      </c>
      <c r="C31" t="s">
        <v>15</v>
      </c>
      <c r="D31" t="s">
        <v>28</v>
      </c>
      <c r="E31" t="s">
        <v>212</v>
      </c>
      <c r="F31" t="s">
        <v>418</v>
      </c>
      <c r="Q31">
        <f t="shared" si="2"/>
        <v>0</v>
      </c>
    </row>
    <row r="32" spans="1:28" x14ac:dyDescent="0.3">
      <c r="B32" t="s">
        <v>47</v>
      </c>
      <c r="C32">
        <v>3</v>
      </c>
      <c r="D32" t="s">
        <v>30</v>
      </c>
      <c r="E32" t="s">
        <v>177</v>
      </c>
      <c r="F32" t="s">
        <v>84</v>
      </c>
      <c r="H32">
        <v>6</v>
      </c>
      <c r="J32">
        <v>1</v>
      </c>
      <c r="Q32">
        <f t="shared" si="2"/>
        <v>1</v>
      </c>
      <c r="R32">
        <v>1</v>
      </c>
    </row>
    <row r="33" spans="1:32" x14ac:dyDescent="0.3">
      <c r="B33" t="s">
        <v>48</v>
      </c>
      <c r="C33">
        <v>2</v>
      </c>
      <c r="D33" t="s">
        <v>30</v>
      </c>
      <c r="E33" t="s">
        <v>213</v>
      </c>
      <c r="F33" t="s">
        <v>224</v>
      </c>
      <c r="G33" t="s">
        <v>15</v>
      </c>
      <c r="H33">
        <v>4</v>
      </c>
      <c r="K33">
        <v>1</v>
      </c>
      <c r="Q33">
        <f t="shared" si="2"/>
        <v>1</v>
      </c>
      <c r="U33">
        <v>1</v>
      </c>
    </row>
    <row r="34" spans="1:32" x14ac:dyDescent="0.3">
      <c r="B34" t="s">
        <v>49</v>
      </c>
      <c r="C34">
        <v>0</v>
      </c>
      <c r="D34" t="s">
        <v>50</v>
      </c>
      <c r="E34" t="s">
        <v>187</v>
      </c>
      <c r="F34" t="s">
        <v>51</v>
      </c>
      <c r="G34" t="s">
        <v>15</v>
      </c>
      <c r="H34">
        <v>1</v>
      </c>
      <c r="Q34">
        <f t="shared" si="2"/>
        <v>1</v>
      </c>
      <c r="AC34">
        <v>1</v>
      </c>
    </row>
    <row r="35" spans="1:32" x14ac:dyDescent="0.3">
      <c r="A35" t="s">
        <v>52</v>
      </c>
      <c r="B35" t="s">
        <v>97</v>
      </c>
      <c r="C35" t="s">
        <v>15</v>
      </c>
      <c r="D35" t="s">
        <v>28</v>
      </c>
      <c r="E35" t="s">
        <v>212</v>
      </c>
      <c r="F35" t="s">
        <v>419</v>
      </c>
      <c r="Q35">
        <f t="shared" si="2"/>
        <v>0</v>
      </c>
    </row>
    <row r="36" spans="1:32" x14ac:dyDescent="0.3">
      <c r="B36" t="s">
        <v>98</v>
      </c>
      <c r="C36">
        <v>1</v>
      </c>
      <c r="D36" t="s">
        <v>89</v>
      </c>
      <c r="E36" t="s">
        <v>178</v>
      </c>
      <c r="F36" t="s">
        <v>420</v>
      </c>
      <c r="H36">
        <v>3</v>
      </c>
      <c r="Q36">
        <f t="shared" si="2"/>
        <v>1</v>
      </c>
      <c r="S36">
        <v>1</v>
      </c>
    </row>
    <row r="37" spans="1:32" x14ac:dyDescent="0.3">
      <c r="B37" t="s">
        <v>196</v>
      </c>
      <c r="C37">
        <v>2</v>
      </c>
      <c r="D37" t="s">
        <v>13</v>
      </c>
      <c r="E37" t="s">
        <v>180</v>
      </c>
      <c r="F37" t="s">
        <v>401</v>
      </c>
      <c r="G37" t="s">
        <v>24</v>
      </c>
      <c r="H37">
        <v>-9</v>
      </c>
      <c r="J37">
        <v>1</v>
      </c>
      <c r="Q37">
        <f t="shared" si="2"/>
        <v>1</v>
      </c>
      <c r="V37">
        <v>1</v>
      </c>
    </row>
    <row r="38" spans="1:32" x14ac:dyDescent="0.3">
      <c r="B38" t="s">
        <v>281</v>
      </c>
      <c r="C38">
        <v>2</v>
      </c>
      <c r="D38" t="s">
        <v>282</v>
      </c>
      <c r="E38" t="s">
        <v>283</v>
      </c>
      <c r="F38" t="s">
        <v>285</v>
      </c>
      <c r="H38">
        <v>0</v>
      </c>
      <c r="J38">
        <v>1</v>
      </c>
      <c r="Q38">
        <f t="shared" si="2"/>
        <v>1</v>
      </c>
      <c r="AA38">
        <v>1</v>
      </c>
    </row>
    <row r="39" spans="1:32" x14ac:dyDescent="0.3">
      <c r="A39" t="s">
        <v>53</v>
      </c>
      <c r="B39" t="s">
        <v>53</v>
      </c>
      <c r="C39" t="s">
        <v>15</v>
      </c>
      <c r="D39" t="s">
        <v>28</v>
      </c>
      <c r="E39" t="s">
        <v>212</v>
      </c>
      <c r="F39" t="s">
        <v>421</v>
      </c>
      <c r="Q39">
        <f t="shared" si="2"/>
        <v>0</v>
      </c>
    </row>
    <row r="40" spans="1:32" x14ac:dyDescent="0.3">
      <c r="B40" t="s">
        <v>54</v>
      </c>
      <c r="C40">
        <v>1</v>
      </c>
      <c r="D40" t="s">
        <v>50</v>
      </c>
      <c r="E40" t="s">
        <v>186</v>
      </c>
      <c r="F40" t="s">
        <v>422</v>
      </c>
      <c r="G40" t="s">
        <v>15</v>
      </c>
      <c r="H40">
        <v>12</v>
      </c>
      <c r="L40">
        <v>1</v>
      </c>
      <c r="N40">
        <v>1</v>
      </c>
      <c r="Q40">
        <f t="shared" si="2"/>
        <v>1</v>
      </c>
      <c r="AB40">
        <v>1</v>
      </c>
    </row>
    <row r="41" spans="1:32" x14ac:dyDescent="0.3">
      <c r="B41" t="s">
        <v>55</v>
      </c>
      <c r="C41">
        <v>3</v>
      </c>
      <c r="D41" t="s">
        <v>13</v>
      </c>
      <c r="E41" t="s">
        <v>180</v>
      </c>
      <c r="F41" t="s">
        <v>423</v>
      </c>
      <c r="G41" t="s">
        <v>280</v>
      </c>
      <c r="H41">
        <v>-12</v>
      </c>
      <c r="J41">
        <v>1</v>
      </c>
      <c r="Q41">
        <f t="shared" si="2"/>
        <v>1</v>
      </c>
      <c r="V41">
        <v>1</v>
      </c>
    </row>
    <row r="42" spans="1:32" x14ac:dyDescent="0.3">
      <c r="B42" t="s">
        <v>192</v>
      </c>
      <c r="C42">
        <v>2</v>
      </c>
      <c r="D42" t="s">
        <v>89</v>
      </c>
      <c r="E42" t="s">
        <v>177</v>
      </c>
      <c r="F42" t="s">
        <v>424</v>
      </c>
      <c r="H42">
        <v>4</v>
      </c>
      <c r="J42">
        <v>1</v>
      </c>
      <c r="Q42">
        <f>SUM(R42:AF42)</f>
        <v>1</v>
      </c>
      <c r="R42">
        <v>1</v>
      </c>
    </row>
    <row r="43" spans="1:32" x14ac:dyDescent="0.3">
      <c r="A43" t="s">
        <v>56</v>
      </c>
      <c r="B43" t="s">
        <v>208</v>
      </c>
      <c r="C43" t="s">
        <v>15</v>
      </c>
      <c r="D43" t="s">
        <v>28</v>
      </c>
      <c r="E43" t="s">
        <v>212</v>
      </c>
      <c r="F43" t="s">
        <v>425</v>
      </c>
      <c r="Q43">
        <f t="shared" si="2"/>
        <v>0</v>
      </c>
    </row>
    <row r="44" spans="1:32" x14ac:dyDescent="0.3">
      <c r="B44" t="s">
        <v>57</v>
      </c>
      <c r="C44">
        <v>0</v>
      </c>
      <c r="D44" t="s">
        <v>50</v>
      </c>
      <c r="E44" t="s">
        <v>187</v>
      </c>
      <c r="F44" t="s">
        <v>58</v>
      </c>
      <c r="H44">
        <v>1</v>
      </c>
      <c r="M44">
        <v>1</v>
      </c>
      <c r="Q44">
        <f t="shared" si="2"/>
        <v>1</v>
      </c>
      <c r="AC44">
        <v>1</v>
      </c>
    </row>
    <row r="45" spans="1:32" x14ac:dyDescent="0.3">
      <c r="B45" t="s">
        <v>59</v>
      </c>
      <c r="C45">
        <v>2</v>
      </c>
      <c r="D45" t="s">
        <v>30</v>
      </c>
      <c r="E45" t="s">
        <v>177</v>
      </c>
      <c r="F45" t="s">
        <v>60</v>
      </c>
      <c r="H45">
        <v>6</v>
      </c>
      <c r="J45">
        <v>1</v>
      </c>
      <c r="Q45">
        <f t="shared" si="2"/>
        <v>1</v>
      </c>
      <c r="R45">
        <v>1</v>
      </c>
    </row>
    <row r="46" spans="1:32" x14ac:dyDescent="0.3">
      <c r="B46" t="s">
        <v>175</v>
      </c>
      <c r="C46">
        <v>1</v>
      </c>
      <c r="D46" t="s">
        <v>86</v>
      </c>
      <c r="E46" t="s">
        <v>214</v>
      </c>
      <c r="F46" t="s">
        <v>176</v>
      </c>
      <c r="H46">
        <v>4</v>
      </c>
      <c r="L46">
        <v>1</v>
      </c>
      <c r="N46">
        <v>1</v>
      </c>
      <c r="P46">
        <v>1</v>
      </c>
      <c r="Q46">
        <f t="shared" si="2"/>
        <v>1</v>
      </c>
      <c r="AF46">
        <v>1</v>
      </c>
    </row>
    <row r="47" spans="1:32" x14ac:dyDescent="0.3">
      <c r="A47" t="s">
        <v>61</v>
      </c>
      <c r="B47" t="s">
        <v>61</v>
      </c>
      <c r="C47" t="s">
        <v>15</v>
      </c>
      <c r="D47" t="s">
        <v>28</v>
      </c>
      <c r="E47" t="s">
        <v>212</v>
      </c>
      <c r="F47" t="s">
        <v>426</v>
      </c>
      <c r="Q47">
        <f t="shared" si="2"/>
        <v>0</v>
      </c>
    </row>
    <row r="48" spans="1:32" x14ac:dyDescent="0.3">
      <c r="B48" t="s">
        <v>62</v>
      </c>
      <c r="C48">
        <v>3</v>
      </c>
      <c r="D48" t="s">
        <v>30</v>
      </c>
      <c r="E48" t="s">
        <v>177</v>
      </c>
      <c r="F48" t="s">
        <v>63</v>
      </c>
      <c r="H48">
        <v>6</v>
      </c>
      <c r="J48">
        <v>1</v>
      </c>
      <c r="Q48">
        <f t="shared" si="2"/>
        <v>1</v>
      </c>
      <c r="R48">
        <v>1</v>
      </c>
    </row>
    <row r="49" spans="1:31" x14ac:dyDescent="0.3">
      <c r="B49" t="s">
        <v>64</v>
      </c>
      <c r="C49">
        <v>2</v>
      </c>
      <c r="D49" t="s">
        <v>30</v>
      </c>
      <c r="E49" t="s">
        <v>178</v>
      </c>
      <c r="F49" t="s">
        <v>427</v>
      </c>
      <c r="G49" t="s">
        <v>15</v>
      </c>
      <c r="H49">
        <v>6</v>
      </c>
      <c r="M49">
        <v>1</v>
      </c>
      <c r="Q49">
        <f t="shared" si="2"/>
        <v>1</v>
      </c>
      <c r="S49">
        <v>1</v>
      </c>
    </row>
    <row r="50" spans="1:31" x14ac:dyDescent="0.3">
      <c r="B50" t="s">
        <v>65</v>
      </c>
      <c r="C50">
        <v>2</v>
      </c>
      <c r="D50" t="s">
        <v>13</v>
      </c>
      <c r="E50" t="s">
        <v>180</v>
      </c>
      <c r="F50" t="s">
        <v>428</v>
      </c>
      <c r="G50" t="s">
        <v>24</v>
      </c>
      <c r="H50">
        <v>-9</v>
      </c>
      <c r="N50">
        <v>1</v>
      </c>
      <c r="P50">
        <v>1</v>
      </c>
      <c r="Q50">
        <f t="shared" si="2"/>
        <v>1</v>
      </c>
      <c r="V50">
        <v>1</v>
      </c>
    </row>
    <row r="51" spans="1:31" x14ac:dyDescent="0.3">
      <c r="A51" t="s">
        <v>66</v>
      </c>
      <c r="B51" t="s">
        <v>66</v>
      </c>
      <c r="C51" t="s">
        <v>15</v>
      </c>
      <c r="D51" t="s">
        <v>28</v>
      </c>
      <c r="E51" t="s">
        <v>212</v>
      </c>
      <c r="F51" t="s">
        <v>429</v>
      </c>
      <c r="Q51">
        <f t="shared" si="2"/>
        <v>0</v>
      </c>
    </row>
    <row r="52" spans="1:31" x14ac:dyDescent="0.3">
      <c r="B52" t="s">
        <v>67</v>
      </c>
      <c r="C52">
        <v>2</v>
      </c>
      <c r="D52" t="s">
        <v>227</v>
      </c>
      <c r="E52" t="s">
        <v>185</v>
      </c>
      <c r="F52" t="s">
        <v>231</v>
      </c>
      <c r="H52">
        <v>0</v>
      </c>
      <c r="J52">
        <v>1</v>
      </c>
      <c r="N52">
        <v>1</v>
      </c>
      <c r="Q52">
        <f t="shared" si="2"/>
        <v>1</v>
      </c>
      <c r="AA52">
        <v>1</v>
      </c>
    </row>
    <row r="53" spans="1:31" x14ac:dyDescent="0.3">
      <c r="B53" t="s">
        <v>68</v>
      </c>
      <c r="C53">
        <v>2</v>
      </c>
      <c r="D53" t="s">
        <v>30</v>
      </c>
      <c r="E53" t="s">
        <v>179</v>
      </c>
      <c r="F53" t="s">
        <v>430</v>
      </c>
      <c r="H53">
        <v>4</v>
      </c>
      <c r="Q53">
        <f t="shared" si="2"/>
        <v>1</v>
      </c>
      <c r="T53">
        <v>1</v>
      </c>
    </row>
    <row r="54" spans="1:31" x14ac:dyDescent="0.3">
      <c r="B54" t="s">
        <v>85</v>
      </c>
      <c r="C54">
        <v>3</v>
      </c>
      <c r="D54" t="s">
        <v>86</v>
      </c>
      <c r="E54" t="s">
        <v>185</v>
      </c>
      <c r="F54" t="s">
        <v>87</v>
      </c>
      <c r="H54">
        <v>2</v>
      </c>
      <c r="Q54">
        <f t="shared" si="2"/>
        <v>1</v>
      </c>
      <c r="AA54">
        <v>1</v>
      </c>
    </row>
    <row r="55" spans="1:31" x14ac:dyDescent="0.3">
      <c r="A55" t="s">
        <v>69</v>
      </c>
      <c r="B55" t="s">
        <v>69</v>
      </c>
      <c r="C55" t="s">
        <v>15</v>
      </c>
      <c r="D55" t="s">
        <v>28</v>
      </c>
      <c r="E55" t="s">
        <v>212</v>
      </c>
      <c r="F55" t="s">
        <v>431</v>
      </c>
      <c r="Q55">
        <f t="shared" si="2"/>
        <v>0</v>
      </c>
    </row>
    <row r="56" spans="1:31" x14ac:dyDescent="0.3">
      <c r="B56" t="s">
        <v>122</v>
      </c>
      <c r="C56">
        <v>1</v>
      </c>
      <c r="D56" t="s">
        <v>86</v>
      </c>
      <c r="E56" t="s">
        <v>190</v>
      </c>
      <c r="F56" t="s">
        <v>123</v>
      </c>
      <c r="H56">
        <v>2</v>
      </c>
      <c r="M56">
        <v>1</v>
      </c>
      <c r="Q56">
        <f t="shared" si="2"/>
        <v>1</v>
      </c>
      <c r="AD56">
        <v>1</v>
      </c>
    </row>
    <row r="57" spans="1:31" x14ac:dyDescent="0.3">
      <c r="B57" t="s">
        <v>126</v>
      </c>
      <c r="C57">
        <v>2</v>
      </c>
      <c r="D57" t="s">
        <v>102</v>
      </c>
      <c r="E57" t="s">
        <v>180</v>
      </c>
      <c r="F57" t="s">
        <v>386</v>
      </c>
      <c r="G57" t="s">
        <v>111</v>
      </c>
      <c r="H57">
        <v>-9</v>
      </c>
      <c r="M57">
        <v>1</v>
      </c>
      <c r="Q57">
        <f t="shared" si="2"/>
        <v>1</v>
      </c>
      <c r="V57">
        <v>1</v>
      </c>
    </row>
    <row r="58" spans="1:31" x14ac:dyDescent="0.3">
      <c r="B58" t="s">
        <v>124</v>
      </c>
      <c r="C58">
        <v>1</v>
      </c>
      <c r="D58" t="s">
        <v>89</v>
      </c>
      <c r="E58" t="s">
        <v>177</v>
      </c>
      <c r="F58" t="s">
        <v>267</v>
      </c>
      <c r="H58">
        <v>3</v>
      </c>
      <c r="J58">
        <v>1</v>
      </c>
      <c r="Q58">
        <f t="shared" si="2"/>
        <v>1</v>
      </c>
      <c r="R58">
        <v>1</v>
      </c>
    </row>
    <row r="59" spans="1:31" x14ac:dyDescent="0.3">
      <c r="A59" t="s">
        <v>70</v>
      </c>
      <c r="B59" t="s">
        <v>71</v>
      </c>
      <c r="C59">
        <v>0</v>
      </c>
      <c r="D59" t="s">
        <v>50</v>
      </c>
      <c r="E59" t="s">
        <v>188</v>
      </c>
      <c r="F59" t="s">
        <v>72</v>
      </c>
      <c r="H59">
        <v>0</v>
      </c>
      <c r="L59">
        <v>1</v>
      </c>
      <c r="Q59">
        <f t="shared" si="2"/>
        <v>1</v>
      </c>
      <c r="AE59">
        <v>1</v>
      </c>
    </row>
    <row r="60" spans="1:31" x14ac:dyDescent="0.3">
      <c r="B60" t="s">
        <v>73</v>
      </c>
      <c r="C60">
        <v>0</v>
      </c>
      <c r="D60" t="s">
        <v>50</v>
      </c>
      <c r="E60" t="s">
        <v>188</v>
      </c>
      <c r="F60" t="s">
        <v>400</v>
      </c>
      <c r="H60">
        <v>0</v>
      </c>
      <c r="M60">
        <v>1</v>
      </c>
      <c r="Q60">
        <f t="shared" si="2"/>
        <v>1</v>
      </c>
      <c r="AE60">
        <v>1</v>
      </c>
    </row>
    <row r="61" spans="1:31" x14ac:dyDescent="0.3">
      <c r="B61" t="s">
        <v>74</v>
      </c>
      <c r="C61">
        <v>0</v>
      </c>
      <c r="D61" t="s">
        <v>50</v>
      </c>
      <c r="E61" t="s">
        <v>188</v>
      </c>
      <c r="F61" t="s">
        <v>288</v>
      </c>
      <c r="H61">
        <v>0</v>
      </c>
      <c r="Q61">
        <f t="shared" si="2"/>
        <v>1</v>
      </c>
      <c r="AE61">
        <v>1</v>
      </c>
    </row>
    <row r="62" spans="1:31" x14ac:dyDescent="0.3">
      <c r="B62" t="s">
        <v>95</v>
      </c>
      <c r="C62">
        <v>0</v>
      </c>
      <c r="D62" t="s">
        <v>86</v>
      </c>
      <c r="E62" t="s">
        <v>188</v>
      </c>
      <c r="F62" t="s">
        <v>450</v>
      </c>
      <c r="H62">
        <v>0</v>
      </c>
      <c r="M62">
        <v>1</v>
      </c>
      <c r="Q62">
        <f t="shared" si="2"/>
        <v>1</v>
      </c>
      <c r="AE62">
        <v>1</v>
      </c>
    </row>
    <row r="63" spans="1:31" x14ac:dyDescent="0.3">
      <c r="B63" t="s">
        <v>385</v>
      </c>
      <c r="C63">
        <v>0</v>
      </c>
      <c r="D63" t="s">
        <v>286</v>
      </c>
      <c r="E63" t="s">
        <v>287</v>
      </c>
      <c r="F63" t="s">
        <v>289</v>
      </c>
      <c r="H63">
        <v>0</v>
      </c>
      <c r="Q63">
        <f t="shared" si="2"/>
        <v>1</v>
      </c>
      <c r="AE63">
        <v>1</v>
      </c>
    </row>
    <row r="64" spans="1:31" x14ac:dyDescent="0.3">
      <c r="B64" t="s">
        <v>75</v>
      </c>
      <c r="C64">
        <v>1</v>
      </c>
      <c r="D64" t="s">
        <v>50</v>
      </c>
      <c r="E64" t="s">
        <v>186</v>
      </c>
      <c r="F64" t="s">
        <v>405</v>
      </c>
      <c r="H64">
        <v>9</v>
      </c>
      <c r="Q64">
        <f t="shared" si="2"/>
        <v>1</v>
      </c>
      <c r="AB64">
        <v>1</v>
      </c>
    </row>
    <row r="65" spans="2:36" x14ac:dyDescent="0.3">
      <c r="B65" t="s">
        <v>108</v>
      </c>
      <c r="C65">
        <v>3</v>
      </c>
      <c r="D65" t="s">
        <v>86</v>
      </c>
      <c r="E65" t="s">
        <v>186</v>
      </c>
      <c r="F65" t="s">
        <v>491</v>
      </c>
      <c r="H65">
        <v>9</v>
      </c>
      <c r="J65">
        <v>1</v>
      </c>
      <c r="Q65">
        <f t="shared" si="2"/>
        <v>1</v>
      </c>
      <c r="AB65">
        <v>1</v>
      </c>
    </row>
    <row r="66" spans="2:36" x14ac:dyDescent="0.3">
      <c r="B66" t="s">
        <v>109</v>
      </c>
      <c r="C66">
        <v>3</v>
      </c>
      <c r="D66" t="s">
        <v>86</v>
      </c>
      <c r="E66" t="s">
        <v>186</v>
      </c>
      <c r="F66" t="s">
        <v>492</v>
      </c>
      <c r="H66">
        <v>9</v>
      </c>
      <c r="J66">
        <v>1</v>
      </c>
      <c r="Q66">
        <f t="shared" si="2"/>
        <v>1</v>
      </c>
      <c r="AB66">
        <v>1</v>
      </c>
    </row>
    <row r="67" spans="2:36" x14ac:dyDescent="0.3">
      <c r="B67" t="s">
        <v>128</v>
      </c>
      <c r="C67">
        <v>1</v>
      </c>
      <c r="D67" t="s">
        <v>86</v>
      </c>
      <c r="E67" t="s">
        <v>186</v>
      </c>
      <c r="F67" t="s">
        <v>432</v>
      </c>
      <c r="H67">
        <v>7</v>
      </c>
      <c r="L67">
        <v>1</v>
      </c>
      <c r="N67">
        <v>1</v>
      </c>
      <c r="P67">
        <v>1</v>
      </c>
      <c r="Q67">
        <f t="shared" si="2"/>
        <v>1</v>
      </c>
      <c r="AB67">
        <v>1</v>
      </c>
    </row>
    <row r="68" spans="2:36" x14ac:dyDescent="0.3">
      <c r="B68" t="s">
        <v>369</v>
      </c>
      <c r="C68">
        <v>2</v>
      </c>
      <c r="D68" t="s">
        <v>363</v>
      </c>
      <c r="E68" t="s">
        <v>370</v>
      </c>
      <c r="F68" t="s">
        <v>433</v>
      </c>
      <c r="H68">
        <v>6</v>
      </c>
      <c r="I68">
        <v>1</v>
      </c>
      <c r="Q68">
        <f>SUM(R68:AF68)</f>
        <v>1</v>
      </c>
      <c r="AB68">
        <v>1</v>
      </c>
      <c r="AI68">
        <v>1</v>
      </c>
    </row>
    <row r="69" spans="2:36" x14ac:dyDescent="0.3">
      <c r="B69" t="s">
        <v>371</v>
      </c>
      <c r="C69">
        <v>3</v>
      </c>
      <c r="D69" t="s">
        <v>363</v>
      </c>
      <c r="E69" t="s">
        <v>370</v>
      </c>
      <c r="F69" t="s">
        <v>402</v>
      </c>
      <c r="H69">
        <v>16</v>
      </c>
      <c r="I69">
        <v>1</v>
      </c>
      <c r="Q69">
        <f>SUM(R69:AF69)</f>
        <v>1</v>
      </c>
      <c r="AB69">
        <v>1</v>
      </c>
    </row>
    <row r="70" spans="2:36" x14ac:dyDescent="0.3">
      <c r="B70" t="s">
        <v>372</v>
      </c>
      <c r="C70">
        <v>2</v>
      </c>
      <c r="D70" t="s">
        <v>363</v>
      </c>
      <c r="E70" t="s">
        <v>370</v>
      </c>
      <c r="F70" t="s">
        <v>403</v>
      </c>
      <c r="H70">
        <v>13</v>
      </c>
      <c r="I70">
        <v>1</v>
      </c>
      <c r="Q70">
        <f>SUM(R70:AF70)</f>
        <v>1</v>
      </c>
      <c r="AB70">
        <v>1</v>
      </c>
    </row>
    <row r="71" spans="2:36" x14ac:dyDescent="0.3">
      <c r="B71" t="s">
        <v>380</v>
      </c>
      <c r="C71">
        <v>2</v>
      </c>
      <c r="D71" t="s">
        <v>363</v>
      </c>
      <c r="E71" t="s">
        <v>370</v>
      </c>
      <c r="F71" t="s">
        <v>434</v>
      </c>
      <c r="H71">
        <v>12</v>
      </c>
      <c r="K71">
        <v>1</v>
      </c>
      <c r="Q71">
        <f>SUM(R71:AF71)</f>
        <v>1</v>
      </c>
      <c r="AB71">
        <v>1</v>
      </c>
    </row>
    <row r="72" spans="2:36" x14ac:dyDescent="0.3">
      <c r="B72" t="s">
        <v>91</v>
      </c>
      <c r="C72">
        <v>1</v>
      </c>
      <c r="D72" t="s">
        <v>89</v>
      </c>
      <c r="E72" t="s">
        <v>177</v>
      </c>
      <c r="F72" t="s">
        <v>125</v>
      </c>
      <c r="H72">
        <v>3</v>
      </c>
      <c r="J72">
        <v>1</v>
      </c>
      <c r="Q72">
        <f t="shared" ref="Q72:Q117" si="4">SUM(R72:AF72)</f>
        <v>1</v>
      </c>
      <c r="R72">
        <v>1</v>
      </c>
    </row>
    <row r="73" spans="2:36" x14ac:dyDescent="0.3">
      <c r="B73" t="s">
        <v>191</v>
      </c>
      <c r="C73">
        <v>2</v>
      </c>
      <c r="D73" t="s">
        <v>89</v>
      </c>
      <c r="E73" t="s">
        <v>177</v>
      </c>
      <c r="F73" t="s">
        <v>399</v>
      </c>
      <c r="H73">
        <v>4</v>
      </c>
      <c r="J73">
        <v>1</v>
      </c>
      <c r="Q73">
        <f t="shared" si="4"/>
        <v>1</v>
      </c>
      <c r="R73">
        <v>1</v>
      </c>
    </row>
    <row r="74" spans="2:36" x14ac:dyDescent="0.3">
      <c r="B74" t="s">
        <v>193</v>
      </c>
      <c r="C74">
        <v>3</v>
      </c>
      <c r="D74" t="s">
        <v>89</v>
      </c>
      <c r="E74" t="s">
        <v>177</v>
      </c>
      <c r="F74" t="s">
        <v>398</v>
      </c>
      <c r="H74">
        <v>6</v>
      </c>
      <c r="J74">
        <v>1</v>
      </c>
      <c r="Q74">
        <f t="shared" si="4"/>
        <v>1</v>
      </c>
      <c r="R74">
        <v>1</v>
      </c>
    </row>
    <row r="75" spans="2:36" x14ac:dyDescent="0.3">
      <c r="B75" t="s">
        <v>92</v>
      </c>
      <c r="C75">
        <v>3</v>
      </c>
      <c r="D75" t="s">
        <v>86</v>
      </c>
      <c r="E75" t="s">
        <v>183</v>
      </c>
      <c r="F75" t="s">
        <v>460</v>
      </c>
      <c r="H75">
        <v>8</v>
      </c>
      <c r="K75">
        <v>1</v>
      </c>
      <c r="Q75">
        <f t="shared" si="4"/>
        <v>1</v>
      </c>
      <c r="Y75">
        <v>1</v>
      </c>
      <c r="AJ75">
        <v>1</v>
      </c>
    </row>
    <row r="76" spans="2:36" x14ac:dyDescent="0.3">
      <c r="B76" t="s">
        <v>93</v>
      </c>
      <c r="C76">
        <v>3</v>
      </c>
      <c r="D76" t="s">
        <v>86</v>
      </c>
      <c r="E76" t="s">
        <v>183</v>
      </c>
      <c r="F76" t="s">
        <v>435</v>
      </c>
      <c r="H76">
        <v>12</v>
      </c>
      <c r="K76">
        <v>1</v>
      </c>
      <c r="Q76">
        <f t="shared" si="4"/>
        <v>1</v>
      </c>
      <c r="Y76">
        <v>1</v>
      </c>
    </row>
    <row r="77" spans="2:36" x14ac:dyDescent="0.3">
      <c r="B77" t="s">
        <v>94</v>
      </c>
      <c r="C77">
        <v>2</v>
      </c>
      <c r="D77" t="s">
        <v>86</v>
      </c>
      <c r="E77" t="s">
        <v>183</v>
      </c>
      <c r="F77" t="s">
        <v>435</v>
      </c>
      <c r="H77">
        <v>9</v>
      </c>
      <c r="K77">
        <v>1</v>
      </c>
      <c r="Q77">
        <f t="shared" si="4"/>
        <v>1</v>
      </c>
      <c r="Y77">
        <v>1</v>
      </c>
    </row>
    <row r="78" spans="2:36" x14ac:dyDescent="0.3">
      <c r="B78" t="s">
        <v>106</v>
      </c>
      <c r="C78">
        <v>3</v>
      </c>
      <c r="D78" t="s">
        <v>86</v>
      </c>
      <c r="E78" t="s">
        <v>183</v>
      </c>
      <c r="F78" t="s">
        <v>107</v>
      </c>
      <c r="H78">
        <v>9</v>
      </c>
      <c r="K78">
        <v>1</v>
      </c>
      <c r="Q78">
        <f t="shared" si="4"/>
        <v>1</v>
      </c>
      <c r="Y78">
        <v>1</v>
      </c>
    </row>
    <row r="79" spans="2:36" x14ac:dyDescent="0.3">
      <c r="B79" t="s">
        <v>117</v>
      </c>
      <c r="C79">
        <v>0</v>
      </c>
      <c r="D79" t="s">
        <v>86</v>
      </c>
      <c r="E79" t="s">
        <v>183</v>
      </c>
      <c r="F79" t="s">
        <v>118</v>
      </c>
      <c r="H79">
        <v>5</v>
      </c>
      <c r="K79">
        <v>1</v>
      </c>
      <c r="N79">
        <v>1</v>
      </c>
      <c r="Q79">
        <f t="shared" si="4"/>
        <v>1</v>
      </c>
      <c r="Y79">
        <v>1</v>
      </c>
    </row>
    <row r="80" spans="2:36" x14ac:dyDescent="0.3">
      <c r="B80" t="s">
        <v>228</v>
      </c>
      <c r="C80">
        <v>1</v>
      </c>
      <c r="D80" t="s">
        <v>227</v>
      </c>
      <c r="E80" t="s">
        <v>229</v>
      </c>
      <c r="F80" t="s">
        <v>435</v>
      </c>
      <c r="H80">
        <v>6</v>
      </c>
      <c r="K80">
        <v>1</v>
      </c>
      <c r="Q80">
        <f t="shared" si="4"/>
        <v>1</v>
      </c>
      <c r="Y80">
        <v>1</v>
      </c>
    </row>
    <row r="81" spans="2:37" x14ac:dyDescent="0.3">
      <c r="B81" t="s">
        <v>335</v>
      </c>
      <c r="C81">
        <v>2</v>
      </c>
      <c r="D81" t="s">
        <v>326</v>
      </c>
      <c r="E81" t="s">
        <v>327</v>
      </c>
      <c r="F81" t="s">
        <v>435</v>
      </c>
      <c r="H81">
        <v>9</v>
      </c>
      <c r="K81">
        <v>1</v>
      </c>
      <c r="Q81">
        <f>SUM(R81:AF81)</f>
        <v>1</v>
      </c>
      <c r="Y81">
        <v>1</v>
      </c>
    </row>
    <row r="82" spans="2:37" x14ac:dyDescent="0.3">
      <c r="B82" t="s">
        <v>328</v>
      </c>
      <c r="C82">
        <v>2</v>
      </c>
      <c r="D82" t="s">
        <v>326</v>
      </c>
      <c r="E82" t="s">
        <v>327</v>
      </c>
      <c r="F82" t="s">
        <v>465</v>
      </c>
      <c r="H82">
        <v>5</v>
      </c>
      <c r="K82">
        <v>1</v>
      </c>
      <c r="Q82">
        <f>SUM(R82:AF82)</f>
        <v>1</v>
      </c>
      <c r="Y82">
        <v>1</v>
      </c>
      <c r="AK82">
        <v>1</v>
      </c>
    </row>
    <row r="83" spans="2:37" x14ac:dyDescent="0.3">
      <c r="B83" t="s">
        <v>329</v>
      </c>
      <c r="C83">
        <v>3</v>
      </c>
      <c r="D83" t="s">
        <v>326</v>
      </c>
      <c r="E83" t="s">
        <v>327</v>
      </c>
      <c r="F83" t="s">
        <v>436</v>
      </c>
      <c r="H83">
        <v>8</v>
      </c>
      <c r="K83">
        <v>1</v>
      </c>
      <c r="Q83">
        <f>SUM(R83:AF83)</f>
        <v>1</v>
      </c>
      <c r="Y83">
        <v>1</v>
      </c>
    </row>
    <row r="84" spans="2:37" x14ac:dyDescent="0.3">
      <c r="B84" t="s">
        <v>330</v>
      </c>
      <c r="C84">
        <v>2</v>
      </c>
      <c r="D84" t="s">
        <v>326</v>
      </c>
      <c r="E84" t="s">
        <v>327</v>
      </c>
      <c r="F84" t="s">
        <v>331</v>
      </c>
      <c r="H84">
        <v>12</v>
      </c>
      <c r="K84">
        <v>1</v>
      </c>
      <c r="Q84">
        <f>SUM(R84:AF84)</f>
        <v>1</v>
      </c>
      <c r="Y84">
        <v>1</v>
      </c>
    </row>
    <row r="85" spans="2:37" x14ac:dyDescent="0.3">
      <c r="B85" t="s">
        <v>307</v>
      </c>
      <c r="C85">
        <v>1</v>
      </c>
      <c r="D85" t="s">
        <v>299</v>
      </c>
      <c r="E85" t="s">
        <v>308</v>
      </c>
      <c r="F85" t="s">
        <v>461</v>
      </c>
      <c r="G85" t="s">
        <v>309</v>
      </c>
      <c r="H85">
        <v>-6</v>
      </c>
      <c r="I85">
        <v>1</v>
      </c>
      <c r="Q85">
        <f>SUM(R85:AF85)</f>
        <v>1</v>
      </c>
      <c r="W85">
        <v>1</v>
      </c>
      <c r="AK85">
        <v>1</v>
      </c>
    </row>
    <row r="86" spans="2:37" x14ac:dyDescent="0.3">
      <c r="B86" t="s">
        <v>310</v>
      </c>
      <c r="C86">
        <v>2</v>
      </c>
      <c r="D86" t="s">
        <v>102</v>
      </c>
      <c r="E86" t="s">
        <v>181</v>
      </c>
      <c r="F86" t="s">
        <v>173</v>
      </c>
      <c r="G86" t="s">
        <v>103</v>
      </c>
      <c r="H86">
        <v>-9</v>
      </c>
      <c r="I86">
        <v>1</v>
      </c>
      <c r="Q86">
        <f t="shared" si="4"/>
        <v>1</v>
      </c>
      <c r="W86">
        <v>1</v>
      </c>
    </row>
    <row r="87" spans="2:37" x14ac:dyDescent="0.3">
      <c r="B87" t="s">
        <v>174</v>
      </c>
      <c r="C87">
        <v>1</v>
      </c>
      <c r="D87" t="s">
        <v>102</v>
      </c>
      <c r="E87" t="s">
        <v>181</v>
      </c>
      <c r="F87" t="s">
        <v>466</v>
      </c>
      <c r="G87" t="s">
        <v>79</v>
      </c>
      <c r="H87">
        <v>-6</v>
      </c>
      <c r="I87">
        <v>1</v>
      </c>
      <c r="Q87">
        <f t="shared" si="4"/>
        <v>1</v>
      </c>
      <c r="W87">
        <v>1</v>
      </c>
      <c r="AK87">
        <v>1</v>
      </c>
    </row>
    <row r="88" spans="2:37" x14ac:dyDescent="0.3">
      <c r="B88" t="s">
        <v>200</v>
      </c>
      <c r="C88">
        <v>2</v>
      </c>
      <c r="D88" t="s">
        <v>13</v>
      </c>
      <c r="E88" t="s">
        <v>181</v>
      </c>
      <c r="F88" t="s">
        <v>462</v>
      </c>
      <c r="G88" t="s">
        <v>201</v>
      </c>
      <c r="H88">
        <v>-9</v>
      </c>
      <c r="M88">
        <v>1</v>
      </c>
      <c r="Q88">
        <f t="shared" si="4"/>
        <v>1</v>
      </c>
      <c r="W88">
        <v>1</v>
      </c>
      <c r="AI88">
        <v>1</v>
      </c>
    </row>
    <row r="89" spans="2:37" x14ac:dyDescent="0.3">
      <c r="B89" t="s">
        <v>202</v>
      </c>
      <c r="C89">
        <v>2</v>
      </c>
      <c r="D89" t="s">
        <v>13</v>
      </c>
      <c r="E89" t="s">
        <v>181</v>
      </c>
      <c r="F89" t="s">
        <v>457</v>
      </c>
      <c r="G89" t="s">
        <v>201</v>
      </c>
      <c r="H89">
        <v>-9</v>
      </c>
      <c r="I89">
        <v>1</v>
      </c>
      <c r="Q89">
        <f t="shared" si="4"/>
        <v>1</v>
      </c>
      <c r="W89">
        <v>1</v>
      </c>
      <c r="AK89">
        <v>1</v>
      </c>
    </row>
    <row r="90" spans="2:37" x14ac:dyDescent="0.3">
      <c r="B90" t="s">
        <v>294</v>
      </c>
      <c r="C90">
        <v>2</v>
      </c>
      <c r="D90" t="s">
        <v>291</v>
      </c>
      <c r="E90" t="s">
        <v>295</v>
      </c>
      <c r="F90" t="s">
        <v>458</v>
      </c>
      <c r="G90" t="s">
        <v>296</v>
      </c>
      <c r="H90">
        <v>-6</v>
      </c>
      <c r="I90">
        <v>1</v>
      </c>
      <c r="Q90">
        <f t="shared" si="4"/>
        <v>1</v>
      </c>
      <c r="W90">
        <v>1</v>
      </c>
      <c r="AI90">
        <v>1</v>
      </c>
    </row>
    <row r="91" spans="2:37" x14ac:dyDescent="0.3">
      <c r="B91" t="s">
        <v>311</v>
      </c>
      <c r="C91">
        <v>3</v>
      </c>
      <c r="D91" t="s">
        <v>299</v>
      </c>
      <c r="E91" t="s">
        <v>308</v>
      </c>
      <c r="F91" t="s">
        <v>312</v>
      </c>
      <c r="G91" t="s">
        <v>313</v>
      </c>
      <c r="H91">
        <v>-12</v>
      </c>
      <c r="I91">
        <v>1</v>
      </c>
      <c r="Q91">
        <f>SUM(R91:AF91)</f>
        <v>1</v>
      </c>
      <c r="W91">
        <v>1</v>
      </c>
    </row>
    <row r="92" spans="2:37" x14ac:dyDescent="0.3">
      <c r="B92" t="s">
        <v>314</v>
      </c>
      <c r="C92">
        <v>2</v>
      </c>
      <c r="D92" t="s">
        <v>299</v>
      </c>
      <c r="E92" t="s">
        <v>308</v>
      </c>
      <c r="F92" t="s">
        <v>459</v>
      </c>
      <c r="G92" t="s">
        <v>315</v>
      </c>
      <c r="H92">
        <v>-9</v>
      </c>
      <c r="I92">
        <v>1</v>
      </c>
      <c r="N92">
        <v>1</v>
      </c>
      <c r="Q92">
        <f>SUM(R92:AF92)</f>
        <v>1</v>
      </c>
      <c r="W92">
        <v>1</v>
      </c>
      <c r="AJ92">
        <v>1</v>
      </c>
    </row>
    <row r="93" spans="2:37" x14ac:dyDescent="0.3">
      <c r="B93" t="s">
        <v>113</v>
      </c>
      <c r="C93">
        <v>0</v>
      </c>
      <c r="D93" t="s">
        <v>86</v>
      </c>
      <c r="E93" t="s">
        <v>214</v>
      </c>
      <c r="F93" t="s">
        <v>297</v>
      </c>
      <c r="H93">
        <v>2</v>
      </c>
      <c r="L93">
        <v>1</v>
      </c>
      <c r="P93">
        <v>1</v>
      </c>
      <c r="Q93">
        <f t="shared" si="4"/>
        <v>1</v>
      </c>
      <c r="AF93">
        <v>1</v>
      </c>
    </row>
    <row r="94" spans="2:37" x14ac:dyDescent="0.3">
      <c r="B94" t="s">
        <v>114</v>
      </c>
      <c r="C94">
        <v>1</v>
      </c>
      <c r="D94" t="s">
        <v>86</v>
      </c>
      <c r="E94" t="s">
        <v>214</v>
      </c>
      <c r="F94" t="s">
        <v>438</v>
      </c>
      <c r="H94">
        <v>0</v>
      </c>
      <c r="L94">
        <v>1</v>
      </c>
      <c r="Q94">
        <f t="shared" si="4"/>
        <v>1</v>
      </c>
      <c r="AF94">
        <v>1</v>
      </c>
    </row>
    <row r="95" spans="2:37" x14ac:dyDescent="0.3">
      <c r="B95" t="s">
        <v>116</v>
      </c>
      <c r="C95">
        <v>2</v>
      </c>
      <c r="D95" t="s">
        <v>86</v>
      </c>
      <c r="E95" t="s">
        <v>214</v>
      </c>
      <c r="F95" t="s">
        <v>437</v>
      </c>
      <c r="H95">
        <v>1</v>
      </c>
      <c r="L95">
        <v>1</v>
      </c>
      <c r="P95">
        <v>1</v>
      </c>
      <c r="Q95">
        <f t="shared" si="4"/>
        <v>1</v>
      </c>
      <c r="AF95">
        <v>1</v>
      </c>
    </row>
    <row r="96" spans="2:37" x14ac:dyDescent="0.3">
      <c r="B96" t="s">
        <v>127</v>
      </c>
      <c r="C96">
        <v>0</v>
      </c>
      <c r="D96" t="s">
        <v>86</v>
      </c>
      <c r="E96" t="s">
        <v>214</v>
      </c>
      <c r="F96" t="s">
        <v>463</v>
      </c>
      <c r="H96">
        <v>0</v>
      </c>
      <c r="L96">
        <v>1</v>
      </c>
      <c r="N96">
        <v>1</v>
      </c>
      <c r="P96">
        <v>1</v>
      </c>
      <c r="Q96">
        <f t="shared" si="4"/>
        <v>1</v>
      </c>
      <c r="AF96">
        <v>1</v>
      </c>
    </row>
    <row r="97" spans="2:37" x14ac:dyDescent="0.3">
      <c r="B97" t="s">
        <v>486</v>
      </c>
      <c r="C97">
        <v>1</v>
      </c>
      <c r="D97" t="s">
        <v>487</v>
      </c>
      <c r="E97" t="s">
        <v>485</v>
      </c>
      <c r="F97" t="s">
        <v>488</v>
      </c>
      <c r="H97">
        <v>1</v>
      </c>
      <c r="L97">
        <v>1</v>
      </c>
      <c r="P97">
        <v>1</v>
      </c>
      <c r="Q97">
        <f t="shared" si="4"/>
        <v>1</v>
      </c>
      <c r="AF97">
        <v>1</v>
      </c>
    </row>
    <row r="98" spans="2:37" x14ac:dyDescent="0.3">
      <c r="B98" t="s">
        <v>394</v>
      </c>
      <c r="C98">
        <v>0</v>
      </c>
      <c r="D98" t="s">
        <v>388</v>
      </c>
      <c r="E98" t="s">
        <v>392</v>
      </c>
      <c r="F98" t="s">
        <v>439</v>
      </c>
      <c r="H98">
        <v>0</v>
      </c>
      <c r="L98">
        <v>1</v>
      </c>
      <c r="Q98">
        <f t="shared" si="4"/>
        <v>1</v>
      </c>
      <c r="AF98">
        <v>1</v>
      </c>
    </row>
    <row r="99" spans="2:37" x14ac:dyDescent="0.3">
      <c r="B99" t="s">
        <v>360</v>
      </c>
      <c r="C99">
        <v>0</v>
      </c>
      <c r="D99" t="s">
        <v>326</v>
      </c>
      <c r="E99" t="s">
        <v>361</v>
      </c>
      <c r="F99" t="s">
        <v>440</v>
      </c>
      <c r="H99">
        <v>0</v>
      </c>
      <c r="L99">
        <v>1</v>
      </c>
      <c r="P99">
        <v>1</v>
      </c>
      <c r="Q99">
        <f>SUM(R99:AF99)</f>
        <v>1</v>
      </c>
      <c r="AF99">
        <v>1</v>
      </c>
    </row>
    <row r="100" spans="2:37" x14ac:dyDescent="0.3">
      <c r="B100" t="s">
        <v>365</v>
      </c>
      <c r="C100">
        <v>0</v>
      </c>
      <c r="D100" t="s">
        <v>363</v>
      </c>
      <c r="E100" t="s">
        <v>364</v>
      </c>
      <c r="F100" t="s">
        <v>366</v>
      </c>
      <c r="H100">
        <v>0</v>
      </c>
      <c r="L100">
        <v>1</v>
      </c>
      <c r="Q100">
        <f>SUM(R100:AF100)</f>
        <v>1</v>
      </c>
      <c r="AF100">
        <v>1</v>
      </c>
    </row>
    <row r="101" spans="2:37" x14ac:dyDescent="0.3">
      <c r="B101" t="s">
        <v>367</v>
      </c>
      <c r="C101">
        <v>0</v>
      </c>
      <c r="D101" t="s">
        <v>363</v>
      </c>
      <c r="E101" t="s">
        <v>364</v>
      </c>
      <c r="F101" t="s">
        <v>368</v>
      </c>
      <c r="H101">
        <v>1</v>
      </c>
      <c r="L101">
        <v>1</v>
      </c>
      <c r="P101">
        <v>1</v>
      </c>
      <c r="Q101">
        <f>SUM(R101:AF101)</f>
        <v>1</v>
      </c>
      <c r="AF101">
        <v>1</v>
      </c>
    </row>
    <row r="102" spans="2:37" x14ac:dyDescent="0.3">
      <c r="B102" t="s">
        <v>120</v>
      </c>
      <c r="C102">
        <v>0</v>
      </c>
      <c r="D102" t="s">
        <v>86</v>
      </c>
      <c r="E102" t="s">
        <v>187</v>
      </c>
      <c r="F102" t="s">
        <v>121</v>
      </c>
      <c r="H102">
        <v>1</v>
      </c>
      <c r="Q102">
        <f t="shared" si="4"/>
        <v>1</v>
      </c>
      <c r="AC102">
        <v>1</v>
      </c>
    </row>
    <row r="103" spans="2:37" x14ac:dyDescent="0.3">
      <c r="B103" t="s">
        <v>203</v>
      </c>
      <c r="C103">
        <v>0</v>
      </c>
      <c r="D103" t="s">
        <v>50</v>
      </c>
      <c r="E103" t="s">
        <v>187</v>
      </c>
      <c r="F103" t="s">
        <v>456</v>
      </c>
      <c r="H103">
        <v>1</v>
      </c>
      <c r="L103">
        <v>1</v>
      </c>
      <c r="Q103">
        <f t="shared" si="4"/>
        <v>1</v>
      </c>
      <c r="AC103">
        <v>1</v>
      </c>
    </row>
    <row r="104" spans="2:37" x14ac:dyDescent="0.3">
      <c r="B104" t="s">
        <v>204</v>
      </c>
      <c r="C104">
        <v>0</v>
      </c>
      <c r="D104" t="s">
        <v>50</v>
      </c>
      <c r="E104" t="s">
        <v>187</v>
      </c>
      <c r="F104" t="s">
        <v>205</v>
      </c>
      <c r="H104">
        <v>1</v>
      </c>
      <c r="K104">
        <v>1</v>
      </c>
      <c r="Q104">
        <f t="shared" si="4"/>
        <v>1</v>
      </c>
      <c r="AC104">
        <v>1</v>
      </c>
    </row>
    <row r="105" spans="2:37" x14ac:dyDescent="0.3">
      <c r="B105" t="s">
        <v>194</v>
      </c>
      <c r="C105">
        <v>1</v>
      </c>
      <c r="D105" t="s">
        <v>86</v>
      </c>
      <c r="E105" t="s">
        <v>184</v>
      </c>
      <c r="F105" t="s">
        <v>441</v>
      </c>
      <c r="H105">
        <v>0</v>
      </c>
      <c r="I105">
        <v>1</v>
      </c>
      <c r="Q105">
        <f t="shared" si="4"/>
        <v>1</v>
      </c>
      <c r="Z105">
        <v>1</v>
      </c>
      <c r="AJ105">
        <v>1</v>
      </c>
    </row>
    <row r="106" spans="2:37" x14ac:dyDescent="0.3">
      <c r="B106" t="s">
        <v>195</v>
      </c>
      <c r="C106">
        <v>2</v>
      </c>
      <c r="D106" t="s">
        <v>86</v>
      </c>
      <c r="E106" t="s">
        <v>184</v>
      </c>
      <c r="F106" t="s">
        <v>448</v>
      </c>
      <c r="H106">
        <v>4</v>
      </c>
      <c r="I106">
        <v>1</v>
      </c>
      <c r="Q106">
        <f t="shared" si="4"/>
        <v>1</v>
      </c>
      <c r="Z106">
        <v>1</v>
      </c>
      <c r="AK106">
        <v>1</v>
      </c>
    </row>
    <row r="107" spans="2:37" x14ac:dyDescent="0.3">
      <c r="B107" t="s">
        <v>340</v>
      </c>
      <c r="C107">
        <v>2</v>
      </c>
      <c r="D107" t="s">
        <v>326</v>
      </c>
      <c r="E107" t="s">
        <v>339</v>
      </c>
      <c r="F107" t="s">
        <v>341</v>
      </c>
      <c r="H107">
        <v>0</v>
      </c>
      <c r="I107">
        <v>1</v>
      </c>
      <c r="Q107">
        <f t="shared" si="4"/>
        <v>1</v>
      </c>
      <c r="Z107">
        <v>1</v>
      </c>
      <c r="AI107">
        <v>1</v>
      </c>
    </row>
    <row r="108" spans="2:37" x14ac:dyDescent="0.3">
      <c r="B108" t="s">
        <v>342</v>
      </c>
      <c r="C108">
        <v>3</v>
      </c>
      <c r="D108" t="s">
        <v>326</v>
      </c>
      <c r="E108" t="s">
        <v>339</v>
      </c>
      <c r="F108" t="s">
        <v>343</v>
      </c>
      <c r="H108">
        <v>1</v>
      </c>
      <c r="I108">
        <v>1</v>
      </c>
      <c r="Q108">
        <f t="shared" si="4"/>
        <v>1</v>
      </c>
      <c r="Z108">
        <v>1</v>
      </c>
      <c r="AJ108">
        <v>1</v>
      </c>
    </row>
    <row r="109" spans="2:37" x14ac:dyDescent="0.3">
      <c r="B109" t="s">
        <v>338</v>
      </c>
      <c r="C109">
        <v>0</v>
      </c>
      <c r="D109" t="s">
        <v>227</v>
      </c>
      <c r="E109" t="s">
        <v>223</v>
      </c>
      <c r="F109" t="s">
        <v>226</v>
      </c>
      <c r="H109">
        <v>1</v>
      </c>
      <c r="I109">
        <v>1</v>
      </c>
      <c r="Q109">
        <f t="shared" si="4"/>
        <v>1</v>
      </c>
      <c r="Z109">
        <v>1</v>
      </c>
    </row>
    <row r="110" spans="2:37" x14ac:dyDescent="0.3">
      <c r="B110" t="s">
        <v>216</v>
      </c>
      <c r="C110">
        <v>1</v>
      </c>
      <c r="D110" t="s">
        <v>217</v>
      </c>
      <c r="E110" t="s">
        <v>218</v>
      </c>
      <c r="F110" t="s">
        <v>420</v>
      </c>
      <c r="H110">
        <v>3</v>
      </c>
      <c r="M110">
        <v>1</v>
      </c>
      <c r="Q110">
        <f t="shared" si="4"/>
        <v>1</v>
      </c>
      <c r="S110">
        <v>1</v>
      </c>
    </row>
    <row r="111" spans="2:37" x14ac:dyDescent="0.3">
      <c r="B111" t="s">
        <v>455</v>
      </c>
      <c r="C111">
        <v>1</v>
      </c>
      <c r="D111" t="s">
        <v>217</v>
      </c>
      <c r="E111" t="s">
        <v>218</v>
      </c>
      <c r="F111" t="s">
        <v>219</v>
      </c>
      <c r="H111">
        <v>3</v>
      </c>
      <c r="M111">
        <v>1</v>
      </c>
      <c r="Q111">
        <f t="shared" si="4"/>
        <v>1</v>
      </c>
      <c r="S111">
        <v>1</v>
      </c>
    </row>
    <row r="112" spans="2:37" x14ac:dyDescent="0.3">
      <c r="B112" t="s">
        <v>221</v>
      </c>
      <c r="C112">
        <v>0</v>
      </c>
      <c r="D112" t="s">
        <v>217</v>
      </c>
      <c r="E112" t="s">
        <v>218</v>
      </c>
      <c r="F112" t="s">
        <v>442</v>
      </c>
      <c r="H112">
        <v>2</v>
      </c>
      <c r="M112">
        <v>1</v>
      </c>
      <c r="N112">
        <v>1</v>
      </c>
      <c r="Q112">
        <f t="shared" si="4"/>
        <v>1</v>
      </c>
      <c r="S112">
        <v>1</v>
      </c>
    </row>
    <row r="113" spans="2:35" x14ac:dyDescent="0.3">
      <c r="B113" t="s">
        <v>222</v>
      </c>
      <c r="C113">
        <v>0</v>
      </c>
      <c r="D113" t="s">
        <v>217</v>
      </c>
      <c r="E113" t="s">
        <v>218</v>
      </c>
      <c r="F113" t="s">
        <v>443</v>
      </c>
      <c r="H113">
        <v>2</v>
      </c>
      <c r="M113">
        <v>1</v>
      </c>
      <c r="Q113">
        <f t="shared" si="4"/>
        <v>1</v>
      </c>
      <c r="S113">
        <v>1</v>
      </c>
    </row>
    <row r="114" spans="2:35" x14ac:dyDescent="0.3">
      <c r="B114" t="s">
        <v>348</v>
      </c>
      <c r="C114">
        <v>1</v>
      </c>
      <c r="D114" t="s">
        <v>217</v>
      </c>
      <c r="E114" t="s">
        <v>225</v>
      </c>
      <c r="F114" t="s">
        <v>444</v>
      </c>
      <c r="H114">
        <v>2</v>
      </c>
      <c r="I114">
        <v>1</v>
      </c>
      <c r="Q114">
        <f t="shared" si="4"/>
        <v>1</v>
      </c>
      <c r="U114">
        <v>1</v>
      </c>
    </row>
    <row r="115" spans="2:35" x14ac:dyDescent="0.3">
      <c r="B115" t="s">
        <v>230</v>
      </c>
      <c r="C115">
        <v>1</v>
      </c>
      <c r="D115" t="s">
        <v>217</v>
      </c>
      <c r="E115" t="s">
        <v>225</v>
      </c>
      <c r="F115" t="s">
        <v>232</v>
      </c>
      <c r="H115">
        <v>2</v>
      </c>
      <c r="I115">
        <v>1</v>
      </c>
      <c r="Q115">
        <f t="shared" si="4"/>
        <v>1</v>
      </c>
      <c r="U115">
        <v>1</v>
      </c>
    </row>
    <row r="116" spans="2:35" x14ac:dyDescent="0.3">
      <c r="B116" t="s">
        <v>347</v>
      </c>
      <c r="C116">
        <v>1</v>
      </c>
      <c r="D116" t="s">
        <v>217</v>
      </c>
      <c r="E116" t="s">
        <v>225</v>
      </c>
      <c r="F116" t="s">
        <v>233</v>
      </c>
      <c r="H116">
        <v>2</v>
      </c>
      <c r="K116">
        <v>1</v>
      </c>
      <c r="Q116">
        <f t="shared" si="4"/>
        <v>1</v>
      </c>
      <c r="U116">
        <v>1</v>
      </c>
    </row>
    <row r="117" spans="2:35" x14ac:dyDescent="0.3">
      <c r="B117" t="s">
        <v>269</v>
      </c>
      <c r="C117">
        <v>1</v>
      </c>
      <c r="D117" t="s">
        <v>265</v>
      </c>
      <c r="E117" t="s">
        <v>266</v>
      </c>
      <c r="F117" t="s">
        <v>268</v>
      </c>
      <c r="H117">
        <v>3</v>
      </c>
      <c r="L117">
        <v>1</v>
      </c>
      <c r="Q117">
        <f t="shared" si="4"/>
        <v>1</v>
      </c>
      <c r="T117">
        <v>1</v>
      </c>
    </row>
    <row r="118" spans="2:35" x14ac:dyDescent="0.3">
      <c r="B118" t="s">
        <v>272</v>
      </c>
      <c r="C118">
        <v>1</v>
      </c>
      <c r="D118" t="s">
        <v>273</v>
      </c>
      <c r="E118" t="s">
        <v>274</v>
      </c>
      <c r="F118" t="s">
        <v>445</v>
      </c>
      <c r="G118" t="s">
        <v>275</v>
      </c>
      <c r="H118">
        <v>-6</v>
      </c>
      <c r="J118">
        <v>1</v>
      </c>
      <c r="Q118">
        <f t="shared" ref="Q118:Q145" si="5">SUM(R118:AF118)</f>
        <v>1</v>
      </c>
      <c r="V118">
        <v>1</v>
      </c>
    </row>
    <row r="119" spans="2:35" x14ac:dyDescent="0.3">
      <c r="B119" t="s">
        <v>276</v>
      </c>
      <c r="C119">
        <v>1</v>
      </c>
      <c r="D119" t="s">
        <v>273</v>
      </c>
      <c r="E119" t="s">
        <v>274</v>
      </c>
      <c r="F119" t="s">
        <v>383</v>
      </c>
      <c r="G119" t="s">
        <v>384</v>
      </c>
      <c r="H119">
        <v>-6</v>
      </c>
      <c r="J119">
        <v>1</v>
      </c>
      <c r="Q119">
        <f t="shared" si="5"/>
        <v>1</v>
      </c>
      <c r="V119">
        <v>1</v>
      </c>
    </row>
    <row r="120" spans="2:35" x14ac:dyDescent="0.3">
      <c r="B120" t="s">
        <v>277</v>
      </c>
      <c r="C120">
        <v>3</v>
      </c>
      <c r="D120" t="s">
        <v>13</v>
      </c>
      <c r="E120" t="s">
        <v>180</v>
      </c>
      <c r="F120" t="s">
        <v>304</v>
      </c>
      <c r="G120" t="s">
        <v>278</v>
      </c>
      <c r="H120">
        <v>-12</v>
      </c>
      <c r="J120">
        <v>1</v>
      </c>
      <c r="N120">
        <v>1</v>
      </c>
      <c r="Q120">
        <f t="shared" si="5"/>
        <v>1</v>
      </c>
      <c r="V120">
        <v>1</v>
      </c>
    </row>
    <row r="121" spans="2:35" x14ac:dyDescent="0.3">
      <c r="B121" t="s">
        <v>279</v>
      </c>
      <c r="C121">
        <v>2</v>
      </c>
      <c r="D121" t="s">
        <v>273</v>
      </c>
      <c r="E121" t="s">
        <v>274</v>
      </c>
      <c r="F121" t="s">
        <v>446</v>
      </c>
      <c r="G121" t="s">
        <v>76</v>
      </c>
      <c r="H121">
        <v>-9</v>
      </c>
      <c r="J121">
        <v>1</v>
      </c>
      <c r="Q121">
        <f t="shared" si="5"/>
        <v>1</v>
      </c>
      <c r="V121">
        <v>1</v>
      </c>
    </row>
    <row r="122" spans="2:35" x14ac:dyDescent="0.3">
      <c r="B122" t="s">
        <v>26</v>
      </c>
      <c r="C122">
        <v>2</v>
      </c>
      <c r="D122" t="s">
        <v>13</v>
      </c>
      <c r="E122" t="s">
        <v>180</v>
      </c>
      <c r="F122" t="s">
        <v>81</v>
      </c>
      <c r="G122" t="s">
        <v>24</v>
      </c>
      <c r="H122">
        <v>-9</v>
      </c>
      <c r="J122">
        <v>1</v>
      </c>
      <c r="Q122">
        <f t="shared" si="5"/>
        <v>1</v>
      </c>
      <c r="V122">
        <v>1</v>
      </c>
    </row>
    <row r="123" spans="2:35" x14ac:dyDescent="0.3">
      <c r="B123" t="s">
        <v>298</v>
      </c>
      <c r="C123">
        <v>1</v>
      </c>
      <c r="D123" t="s">
        <v>299</v>
      </c>
      <c r="E123" t="s">
        <v>300</v>
      </c>
      <c r="F123" t="s">
        <v>447</v>
      </c>
      <c r="G123" t="s">
        <v>303</v>
      </c>
      <c r="H123">
        <v>-6</v>
      </c>
      <c r="J123">
        <v>1</v>
      </c>
      <c r="Q123">
        <f t="shared" si="5"/>
        <v>1</v>
      </c>
      <c r="V123">
        <v>1</v>
      </c>
    </row>
    <row r="124" spans="2:35" x14ac:dyDescent="0.3">
      <c r="B124" t="s">
        <v>305</v>
      </c>
      <c r="C124">
        <v>2</v>
      </c>
      <c r="D124" t="s">
        <v>299</v>
      </c>
      <c r="E124" t="s">
        <v>300</v>
      </c>
      <c r="F124" t="s">
        <v>451</v>
      </c>
      <c r="G124" t="s">
        <v>306</v>
      </c>
      <c r="H124">
        <v>-9</v>
      </c>
      <c r="J124">
        <v>1</v>
      </c>
      <c r="Q124">
        <f t="shared" si="5"/>
        <v>1</v>
      </c>
      <c r="V124">
        <v>1</v>
      </c>
    </row>
    <row r="125" spans="2:35" x14ac:dyDescent="0.3">
      <c r="B125" t="s">
        <v>317</v>
      </c>
      <c r="C125">
        <v>2</v>
      </c>
      <c r="D125" t="s">
        <v>299</v>
      </c>
      <c r="E125" t="s">
        <v>318</v>
      </c>
      <c r="F125" t="s">
        <v>319</v>
      </c>
      <c r="G125" t="s">
        <v>302</v>
      </c>
      <c r="H125">
        <v>-12</v>
      </c>
      <c r="M125">
        <v>1</v>
      </c>
      <c r="Q125">
        <f t="shared" si="5"/>
        <v>1</v>
      </c>
      <c r="X125">
        <v>1</v>
      </c>
    </row>
    <row r="126" spans="2:35" x14ac:dyDescent="0.3">
      <c r="B126" t="s">
        <v>320</v>
      </c>
      <c r="C126">
        <v>2</v>
      </c>
      <c r="D126" t="s">
        <v>299</v>
      </c>
      <c r="E126" t="s">
        <v>318</v>
      </c>
      <c r="F126" t="s">
        <v>321</v>
      </c>
      <c r="G126" t="s">
        <v>315</v>
      </c>
      <c r="H126">
        <v>-9</v>
      </c>
      <c r="K126">
        <v>1</v>
      </c>
      <c r="Q126">
        <f t="shared" si="5"/>
        <v>1</v>
      </c>
      <c r="X126">
        <v>1</v>
      </c>
    </row>
    <row r="127" spans="2:35" x14ac:dyDescent="0.3">
      <c r="B127" t="s">
        <v>322</v>
      </c>
      <c r="C127">
        <v>2</v>
      </c>
      <c r="D127" t="s">
        <v>299</v>
      </c>
      <c r="E127" t="s">
        <v>318</v>
      </c>
      <c r="F127" t="s">
        <v>464</v>
      </c>
      <c r="G127" t="s">
        <v>315</v>
      </c>
      <c r="H127">
        <v>-9</v>
      </c>
      <c r="M127">
        <v>1</v>
      </c>
      <c r="Q127">
        <f t="shared" si="5"/>
        <v>1</v>
      </c>
      <c r="X127">
        <v>1</v>
      </c>
      <c r="AI127">
        <v>1</v>
      </c>
    </row>
    <row r="128" spans="2:35" x14ac:dyDescent="0.3">
      <c r="B128" t="s">
        <v>323</v>
      </c>
      <c r="C128">
        <v>2</v>
      </c>
      <c r="D128" t="s">
        <v>299</v>
      </c>
      <c r="E128" t="s">
        <v>318</v>
      </c>
      <c r="F128" t="s">
        <v>467</v>
      </c>
      <c r="G128" t="s">
        <v>302</v>
      </c>
      <c r="H128">
        <v>-9</v>
      </c>
      <c r="I128">
        <v>1</v>
      </c>
      <c r="N128">
        <v>1</v>
      </c>
      <c r="Q128">
        <f t="shared" si="5"/>
        <v>1</v>
      </c>
      <c r="X128">
        <v>1</v>
      </c>
      <c r="AI128">
        <v>1</v>
      </c>
    </row>
    <row r="129" spans="2:37" x14ac:dyDescent="0.3">
      <c r="B129" t="s">
        <v>324</v>
      </c>
      <c r="C129">
        <v>2</v>
      </c>
      <c r="D129" t="s">
        <v>299</v>
      </c>
      <c r="E129" t="s">
        <v>318</v>
      </c>
      <c r="F129" t="s">
        <v>325</v>
      </c>
      <c r="G129" t="s">
        <v>302</v>
      </c>
      <c r="H129">
        <v>-9</v>
      </c>
      <c r="M129">
        <v>1</v>
      </c>
      <c r="Q129">
        <f t="shared" si="5"/>
        <v>1</v>
      </c>
      <c r="X129">
        <v>1</v>
      </c>
    </row>
    <row r="130" spans="2:37" x14ac:dyDescent="0.3">
      <c r="B130" t="s">
        <v>101</v>
      </c>
      <c r="C130">
        <v>2</v>
      </c>
      <c r="D130" t="s">
        <v>102</v>
      </c>
      <c r="E130" t="s">
        <v>182</v>
      </c>
      <c r="F130" t="s">
        <v>316</v>
      </c>
      <c r="G130" t="s">
        <v>103</v>
      </c>
      <c r="H130">
        <v>-9</v>
      </c>
      <c r="K130">
        <v>1</v>
      </c>
      <c r="Q130">
        <f>SUM(R130:AF130)</f>
        <v>1</v>
      </c>
      <c r="X130">
        <v>1</v>
      </c>
    </row>
    <row r="131" spans="2:37" x14ac:dyDescent="0.3">
      <c r="B131" t="s">
        <v>206</v>
      </c>
      <c r="C131">
        <v>0</v>
      </c>
      <c r="D131" t="s">
        <v>50</v>
      </c>
      <c r="E131" t="s">
        <v>185</v>
      </c>
      <c r="F131" t="s">
        <v>452</v>
      </c>
      <c r="H131">
        <v>1</v>
      </c>
      <c r="J131">
        <v>1</v>
      </c>
      <c r="Q131">
        <f>SUM(R131:AF131)</f>
        <v>1</v>
      </c>
      <c r="AA131">
        <v>1</v>
      </c>
    </row>
    <row r="132" spans="2:37" x14ac:dyDescent="0.3">
      <c r="B132" t="s">
        <v>332</v>
      </c>
      <c r="C132">
        <v>3</v>
      </c>
      <c r="D132" t="s">
        <v>326</v>
      </c>
      <c r="E132" t="s">
        <v>333</v>
      </c>
      <c r="F132" t="s">
        <v>334</v>
      </c>
      <c r="H132">
        <v>1</v>
      </c>
      <c r="J132">
        <v>1</v>
      </c>
      <c r="Q132">
        <f t="shared" si="5"/>
        <v>1</v>
      </c>
      <c r="AA132">
        <v>1</v>
      </c>
    </row>
    <row r="133" spans="2:37" x14ac:dyDescent="0.3">
      <c r="B133" t="s">
        <v>336</v>
      </c>
      <c r="C133">
        <v>3</v>
      </c>
      <c r="D133" t="s">
        <v>326</v>
      </c>
      <c r="E133" t="s">
        <v>333</v>
      </c>
      <c r="F133" t="s">
        <v>337</v>
      </c>
      <c r="H133">
        <v>1</v>
      </c>
      <c r="J133">
        <v>1</v>
      </c>
      <c r="Q133">
        <f t="shared" si="5"/>
        <v>1</v>
      </c>
      <c r="AA133">
        <v>1</v>
      </c>
    </row>
    <row r="134" spans="2:37" x14ac:dyDescent="0.3">
      <c r="B134" t="s">
        <v>344</v>
      </c>
      <c r="C134">
        <v>0</v>
      </c>
      <c r="D134" t="s">
        <v>326</v>
      </c>
      <c r="E134" t="s">
        <v>333</v>
      </c>
      <c r="F134" t="s">
        <v>345</v>
      </c>
      <c r="H134">
        <v>13</v>
      </c>
      <c r="J134">
        <v>1</v>
      </c>
      <c r="Q134">
        <f t="shared" si="5"/>
        <v>1</v>
      </c>
      <c r="AA134">
        <v>1</v>
      </c>
    </row>
    <row r="135" spans="2:37" x14ac:dyDescent="0.3">
      <c r="B135" t="s">
        <v>349</v>
      </c>
      <c r="C135">
        <v>0</v>
      </c>
      <c r="D135" t="s">
        <v>326</v>
      </c>
      <c r="E135" t="s">
        <v>333</v>
      </c>
      <c r="F135" t="s">
        <v>350</v>
      </c>
      <c r="H135">
        <v>0</v>
      </c>
      <c r="J135">
        <v>1</v>
      </c>
      <c r="Q135">
        <f t="shared" si="5"/>
        <v>1</v>
      </c>
      <c r="AA135">
        <v>1</v>
      </c>
    </row>
    <row r="136" spans="2:37" x14ac:dyDescent="0.3">
      <c r="B136" t="s">
        <v>351</v>
      </c>
      <c r="C136">
        <v>0</v>
      </c>
      <c r="D136" t="s">
        <v>326</v>
      </c>
      <c r="E136" t="s">
        <v>333</v>
      </c>
      <c r="F136" t="s">
        <v>468</v>
      </c>
      <c r="H136">
        <v>10</v>
      </c>
      <c r="J136">
        <v>1</v>
      </c>
      <c r="Q136">
        <f t="shared" si="5"/>
        <v>1</v>
      </c>
      <c r="AA136">
        <v>1</v>
      </c>
    </row>
    <row r="137" spans="2:37" x14ac:dyDescent="0.3">
      <c r="B137" t="s">
        <v>352</v>
      </c>
      <c r="C137">
        <v>0</v>
      </c>
      <c r="D137" t="s">
        <v>326</v>
      </c>
      <c r="E137" t="s">
        <v>333</v>
      </c>
      <c r="F137" t="s">
        <v>353</v>
      </c>
      <c r="H137">
        <v>0</v>
      </c>
      <c r="J137">
        <v>1</v>
      </c>
      <c r="Q137">
        <f t="shared" si="5"/>
        <v>1</v>
      </c>
      <c r="AA137">
        <v>1</v>
      </c>
    </row>
    <row r="138" spans="2:37" x14ac:dyDescent="0.3">
      <c r="B138" t="s">
        <v>354</v>
      </c>
      <c r="C138">
        <v>1</v>
      </c>
      <c r="D138" t="s">
        <v>326</v>
      </c>
      <c r="E138" t="s">
        <v>333</v>
      </c>
      <c r="F138" t="s">
        <v>355</v>
      </c>
      <c r="H138">
        <v>10</v>
      </c>
      <c r="J138">
        <v>1</v>
      </c>
      <c r="Q138">
        <f t="shared" si="5"/>
        <v>1</v>
      </c>
      <c r="AA138">
        <v>1</v>
      </c>
    </row>
    <row r="139" spans="2:37" x14ac:dyDescent="0.3">
      <c r="B139" t="s">
        <v>356</v>
      </c>
      <c r="C139">
        <v>0</v>
      </c>
      <c r="D139" t="s">
        <v>326</v>
      </c>
      <c r="E139" t="s">
        <v>333</v>
      </c>
      <c r="F139" t="s">
        <v>404</v>
      </c>
      <c r="H139">
        <v>2</v>
      </c>
      <c r="J139">
        <v>1</v>
      </c>
      <c r="Q139">
        <f t="shared" si="5"/>
        <v>1</v>
      </c>
      <c r="AA139">
        <v>1</v>
      </c>
    </row>
    <row r="140" spans="2:37" x14ac:dyDescent="0.3">
      <c r="B140" t="s">
        <v>357</v>
      </c>
      <c r="C140">
        <v>1</v>
      </c>
      <c r="D140" t="s">
        <v>326</v>
      </c>
      <c r="E140" t="s">
        <v>333</v>
      </c>
      <c r="F140" t="s">
        <v>449</v>
      </c>
      <c r="H140">
        <v>0</v>
      </c>
      <c r="J140">
        <v>1</v>
      </c>
      <c r="P140">
        <v>1</v>
      </c>
      <c r="Q140">
        <f t="shared" si="5"/>
        <v>1</v>
      </c>
      <c r="AA140">
        <v>1</v>
      </c>
    </row>
    <row r="141" spans="2:37" x14ac:dyDescent="0.3">
      <c r="B141" t="s">
        <v>359</v>
      </c>
      <c r="C141">
        <v>0</v>
      </c>
      <c r="D141" t="s">
        <v>326</v>
      </c>
      <c r="E141" t="s">
        <v>333</v>
      </c>
      <c r="F141" t="s">
        <v>358</v>
      </c>
      <c r="H141">
        <v>0</v>
      </c>
      <c r="J141">
        <v>1</v>
      </c>
      <c r="Q141">
        <f t="shared" si="5"/>
        <v>1</v>
      </c>
      <c r="AA141">
        <v>1</v>
      </c>
    </row>
    <row r="142" spans="2:37" x14ac:dyDescent="0.3">
      <c r="B142" t="s">
        <v>373</v>
      </c>
      <c r="C142">
        <v>0</v>
      </c>
      <c r="D142" t="s">
        <v>363</v>
      </c>
      <c r="E142" t="s">
        <v>374</v>
      </c>
      <c r="F142" t="s">
        <v>453</v>
      </c>
      <c r="H142">
        <v>0</v>
      </c>
      <c r="M142">
        <v>1</v>
      </c>
      <c r="Q142">
        <f t="shared" si="5"/>
        <v>1</v>
      </c>
      <c r="AD142">
        <v>1</v>
      </c>
    </row>
    <row r="143" spans="2:37" x14ac:dyDescent="0.3">
      <c r="B143" t="s">
        <v>362</v>
      </c>
      <c r="C143">
        <v>2</v>
      </c>
      <c r="D143" t="s">
        <v>363</v>
      </c>
      <c r="E143" t="s">
        <v>374</v>
      </c>
      <c r="F143" t="s">
        <v>375</v>
      </c>
      <c r="H143">
        <v>2</v>
      </c>
      <c r="I143">
        <v>1</v>
      </c>
      <c r="Q143">
        <f t="shared" si="5"/>
        <v>1</v>
      </c>
      <c r="AD143">
        <v>1</v>
      </c>
      <c r="AK143">
        <v>1</v>
      </c>
    </row>
    <row r="144" spans="2:37" x14ac:dyDescent="0.3">
      <c r="B144" t="s">
        <v>376</v>
      </c>
      <c r="C144">
        <v>0</v>
      </c>
      <c r="D144" t="s">
        <v>363</v>
      </c>
      <c r="E144" t="s">
        <v>374</v>
      </c>
      <c r="F144" t="s">
        <v>377</v>
      </c>
      <c r="H144">
        <v>0</v>
      </c>
      <c r="M144">
        <v>1</v>
      </c>
      <c r="Q144">
        <f t="shared" si="5"/>
        <v>1</v>
      </c>
      <c r="AD144">
        <v>1</v>
      </c>
    </row>
    <row r="145" spans="2:33" x14ac:dyDescent="0.3">
      <c r="B145" t="s">
        <v>378</v>
      </c>
      <c r="C145">
        <v>1</v>
      </c>
      <c r="D145" t="s">
        <v>363</v>
      </c>
      <c r="E145" t="s">
        <v>374</v>
      </c>
      <c r="F145" t="s">
        <v>379</v>
      </c>
      <c r="H145">
        <v>0</v>
      </c>
      <c r="M145">
        <v>1</v>
      </c>
      <c r="Q145">
        <f t="shared" si="5"/>
        <v>1</v>
      </c>
      <c r="AD145">
        <v>1</v>
      </c>
    </row>
    <row r="146" spans="2:33" x14ac:dyDescent="0.3">
      <c r="B146" t="s">
        <v>390</v>
      </c>
      <c r="C146">
        <v>0</v>
      </c>
      <c r="D146" t="s">
        <v>388</v>
      </c>
      <c r="E146" t="s">
        <v>389</v>
      </c>
      <c r="F146" t="s">
        <v>490</v>
      </c>
      <c r="H146">
        <v>0</v>
      </c>
      <c r="L146">
        <v>1</v>
      </c>
      <c r="N146">
        <v>1</v>
      </c>
      <c r="P146">
        <v>1</v>
      </c>
      <c r="Q146">
        <f>SUM(R146:AG146)</f>
        <v>1</v>
      </c>
      <c r="AG146">
        <v>1</v>
      </c>
    </row>
    <row r="147" spans="2:33" x14ac:dyDescent="0.3">
      <c r="B147" t="s">
        <v>484</v>
      </c>
      <c r="C147">
        <v>2</v>
      </c>
      <c r="D147" t="s">
        <v>388</v>
      </c>
      <c r="E147" t="s">
        <v>389</v>
      </c>
      <c r="F147" t="s">
        <v>481</v>
      </c>
      <c r="H147">
        <v>0</v>
      </c>
      <c r="I147">
        <v>1</v>
      </c>
      <c r="Q147">
        <f>SUM(R147:AG147)</f>
        <v>1</v>
      </c>
      <c r="AG147">
        <v>1</v>
      </c>
    </row>
    <row r="148" spans="2:33" x14ac:dyDescent="0.3">
      <c r="B148" t="s">
        <v>395</v>
      </c>
      <c r="C148">
        <v>2</v>
      </c>
      <c r="D148" t="s">
        <v>388</v>
      </c>
      <c r="E148" t="s">
        <v>389</v>
      </c>
      <c r="F148" t="s">
        <v>482</v>
      </c>
      <c r="H148">
        <v>0</v>
      </c>
      <c r="K148">
        <v>1</v>
      </c>
      <c r="Q148">
        <f>SUM(R148:AG148)</f>
        <v>1</v>
      </c>
      <c r="AG148">
        <v>1</v>
      </c>
    </row>
    <row r="149" spans="2:33" x14ac:dyDescent="0.3">
      <c r="B149" t="s">
        <v>396</v>
      </c>
      <c r="C149">
        <v>2</v>
      </c>
      <c r="D149" t="s">
        <v>388</v>
      </c>
      <c r="E149" t="s">
        <v>389</v>
      </c>
      <c r="F149" t="s">
        <v>454</v>
      </c>
      <c r="H149">
        <v>0</v>
      </c>
      <c r="J149">
        <v>1</v>
      </c>
      <c r="Q149">
        <f>SUM(R149:AG149)</f>
        <v>1</v>
      </c>
      <c r="AG149">
        <v>1</v>
      </c>
    </row>
    <row r="150" spans="2:33" x14ac:dyDescent="0.3">
      <c r="B150" t="s">
        <v>397</v>
      </c>
      <c r="C150">
        <v>2</v>
      </c>
      <c r="D150" t="s">
        <v>388</v>
      </c>
      <c r="E150" t="s">
        <v>389</v>
      </c>
      <c r="F150" t="s">
        <v>483</v>
      </c>
      <c r="H150">
        <v>0</v>
      </c>
      <c r="M150">
        <v>1</v>
      </c>
      <c r="Q150">
        <f>SUM(R150:AG150)</f>
        <v>1</v>
      </c>
      <c r="AG150">
        <v>1</v>
      </c>
    </row>
    <row r="151" spans="2:33" x14ac:dyDescent="0.3">
      <c r="B151" t="s">
        <v>391</v>
      </c>
      <c r="C151">
        <v>0</v>
      </c>
      <c r="D151" t="s">
        <v>388</v>
      </c>
      <c r="E151" t="s">
        <v>389</v>
      </c>
      <c r="F151" t="s">
        <v>393</v>
      </c>
      <c r="H151">
        <v>0</v>
      </c>
      <c r="L151">
        <v>1</v>
      </c>
      <c r="N151">
        <v>1</v>
      </c>
      <c r="P151">
        <v>1</v>
      </c>
      <c r="Q151">
        <f>SUM(R151:AF151)</f>
        <v>0</v>
      </c>
      <c r="AG151">
        <v>1</v>
      </c>
    </row>
  </sheetData>
  <autoFilter ref="A1:AK150" xr:uid="{9B92D2AC-3DB2-4150-B4F1-18D43C823332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3717-4327-4660-A083-7C007C62135E}">
  <dimension ref="A1:D17"/>
  <sheetViews>
    <sheetView zoomScale="150" zoomScaleNormal="150" workbookViewId="0">
      <selection activeCell="D14" sqref="D14"/>
    </sheetView>
  </sheetViews>
  <sheetFormatPr defaultRowHeight="14" x14ac:dyDescent="0.3"/>
  <cols>
    <col min="2" max="2" width="8.83203125" style="2" bestFit="1" customWidth="1"/>
    <col min="3" max="3" width="26.6640625" customWidth="1"/>
    <col min="4" max="4" width="29.83203125" customWidth="1"/>
  </cols>
  <sheetData>
    <row r="1" spans="1:4" x14ac:dyDescent="0.3">
      <c r="A1" t="s">
        <v>129</v>
      </c>
      <c r="B1" s="2" t="s">
        <v>130</v>
      </c>
      <c r="C1" t="s">
        <v>131</v>
      </c>
      <c r="D1" t="s">
        <v>132</v>
      </c>
    </row>
    <row r="2" spans="1:4" x14ac:dyDescent="0.3">
      <c r="A2" t="s">
        <v>133</v>
      </c>
      <c r="B2" s="2" t="s">
        <v>164</v>
      </c>
      <c r="C2" t="s">
        <v>135</v>
      </c>
      <c r="D2" t="s">
        <v>134</v>
      </c>
    </row>
    <row r="3" spans="1:4" x14ac:dyDescent="0.3">
      <c r="A3" t="s">
        <v>140</v>
      </c>
      <c r="B3" s="2" t="s">
        <v>471</v>
      </c>
      <c r="C3" t="s">
        <v>479</v>
      </c>
      <c r="D3" t="s">
        <v>480</v>
      </c>
    </row>
    <row r="4" spans="1:4" x14ac:dyDescent="0.3">
      <c r="A4" t="s">
        <v>144</v>
      </c>
      <c r="B4" s="2" t="s">
        <v>472</v>
      </c>
      <c r="C4" t="s">
        <v>145</v>
      </c>
      <c r="D4" t="s">
        <v>146</v>
      </c>
    </row>
    <row r="5" spans="1:4" x14ac:dyDescent="0.3">
      <c r="A5" t="s">
        <v>147</v>
      </c>
      <c r="B5" s="2" t="s">
        <v>473</v>
      </c>
      <c r="C5" t="s">
        <v>148</v>
      </c>
      <c r="D5" t="s">
        <v>149</v>
      </c>
    </row>
    <row r="6" spans="1:4" x14ac:dyDescent="0.3">
      <c r="A6" t="s">
        <v>150</v>
      </c>
      <c r="B6" s="2" t="s">
        <v>164</v>
      </c>
      <c r="C6" t="s">
        <v>155</v>
      </c>
      <c r="D6" t="s">
        <v>151</v>
      </c>
    </row>
    <row r="7" spans="1:4" x14ac:dyDescent="0.3">
      <c r="A7" t="s">
        <v>152</v>
      </c>
      <c r="B7" s="2" t="s">
        <v>166</v>
      </c>
      <c r="C7" t="s">
        <v>153</v>
      </c>
      <c r="D7" t="s">
        <v>154</v>
      </c>
    </row>
    <row r="8" spans="1:4" x14ac:dyDescent="0.3">
      <c r="A8" t="s">
        <v>156</v>
      </c>
      <c r="B8" s="2" t="s">
        <v>473</v>
      </c>
      <c r="C8" t="s">
        <v>157</v>
      </c>
      <c r="D8" t="s">
        <v>158</v>
      </c>
    </row>
    <row r="9" spans="1:4" x14ac:dyDescent="0.3">
      <c r="A9" t="s">
        <v>159</v>
      </c>
      <c r="B9" s="2" t="s">
        <v>474</v>
      </c>
      <c r="C9" t="s">
        <v>160</v>
      </c>
      <c r="D9" t="s">
        <v>161</v>
      </c>
    </row>
    <row r="10" spans="1:4" x14ac:dyDescent="0.3">
      <c r="A10" t="s">
        <v>136</v>
      </c>
      <c r="B10" s="2" t="s">
        <v>137</v>
      </c>
      <c r="C10" t="s">
        <v>138</v>
      </c>
      <c r="D10" t="s">
        <v>142</v>
      </c>
    </row>
    <row r="11" spans="1:4" x14ac:dyDescent="0.3">
      <c r="A11" t="s">
        <v>139</v>
      </c>
      <c r="B11" s="2" t="s">
        <v>475</v>
      </c>
      <c r="C11" t="s">
        <v>143</v>
      </c>
      <c r="D11" t="s">
        <v>141</v>
      </c>
    </row>
    <row r="12" spans="1:4" x14ac:dyDescent="0.3">
      <c r="A12" t="s">
        <v>139</v>
      </c>
      <c r="B12" s="2" t="s">
        <v>475</v>
      </c>
      <c r="C12" t="s">
        <v>143</v>
      </c>
      <c r="D12" t="s">
        <v>141</v>
      </c>
    </row>
    <row r="13" spans="1:4" x14ac:dyDescent="0.3">
      <c r="A13" t="s">
        <v>168</v>
      </c>
      <c r="B13" s="2" t="s">
        <v>164</v>
      </c>
      <c r="C13" t="s">
        <v>162</v>
      </c>
      <c r="D13" t="s">
        <v>163</v>
      </c>
    </row>
    <row r="14" spans="1:4" x14ac:dyDescent="0.3">
      <c r="A14" t="s">
        <v>119</v>
      </c>
      <c r="B14" s="2" t="s">
        <v>164</v>
      </c>
      <c r="C14" t="s">
        <v>381</v>
      </c>
      <c r="D14" t="s">
        <v>382</v>
      </c>
    </row>
    <row r="15" spans="1:4" x14ac:dyDescent="0.3">
      <c r="A15" t="s">
        <v>165</v>
      </c>
      <c r="B15" s="2" t="s">
        <v>471</v>
      </c>
      <c r="C15" t="s">
        <v>167</v>
      </c>
      <c r="D15" t="s">
        <v>476</v>
      </c>
    </row>
    <row r="16" spans="1:4" x14ac:dyDescent="0.3">
      <c r="A16" t="s">
        <v>169</v>
      </c>
      <c r="B16" s="2" t="s">
        <v>471</v>
      </c>
      <c r="C16" t="s">
        <v>170</v>
      </c>
      <c r="D16" t="s">
        <v>477</v>
      </c>
    </row>
    <row r="17" spans="1:4" x14ac:dyDescent="0.3">
      <c r="A17" t="s">
        <v>171</v>
      </c>
      <c r="B17" s="2" t="s">
        <v>471</v>
      </c>
      <c r="C17" t="s">
        <v>172</v>
      </c>
      <c r="D17" t="s">
        <v>478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9A05-2163-4188-81D2-4CFBD35C3367}">
  <dimension ref="B1:AG2"/>
  <sheetViews>
    <sheetView zoomScale="125" zoomScaleNormal="125" workbookViewId="0">
      <selection activeCell="E5" sqref="E5"/>
    </sheetView>
  </sheetViews>
  <sheetFormatPr defaultRowHeight="14" x14ac:dyDescent="0.3"/>
  <sheetData>
    <row r="1" spans="2:33" x14ac:dyDescent="0.3">
      <c r="B1" t="s">
        <v>263</v>
      </c>
      <c r="C1">
        <v>0</v>
      </c>
      <c r="D1" t="s">
        <v>86</v>
      </c>
      <c r="E1" t="s">
        <v>214</v>
      </c>
      <c r="F1" t="s">
        <v>264</v>
      </c>
      <c r="M1">
        <v>1</v>
      </c>
      <c r="O1">
        <v>1</v>
      </c>
      <c r="R1">
        <f t="shared" ref="R1:R2" si="0">SUM(S1:AG1)</f>
        <v>1</v>
      </c>
      <c r="AG1">
        <v>1</v>
      </c>
    </row>
    <row r="2" spans="2:33" x14ac:dyDescent="0.3">
      <c r="B2" t="s">
        <v>263</v>
      </c>
      <c r="C2">
        <v>0</v>
      </c>
      <c r="D2" t="s">
        <v>86</v>
      </c>
      <c r="E2" t="s">
        <v>214</v>
      </c>
      <c r="F2" t="s">
        <v>264</v>
      </c>
      <c r="M2">
        <v>1</v>
      </c>
      <c r="O2">
        <v>1</v>
      </c>
      <c r="R2">
        <f t="shared" si="0"/>
        <v>1</v>
      </c>
      <c r="AG2">
        <v>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2FACB-AFB4-4B82-BF82-D015D0E4A597}">
  <dimension ref="A1:J11"/>
  <sheetViews>
    <sheetView zoomScale="125" zoomScaleNormal="125" workbookViewId="0">
      <selection activeCell="D9" sqref="D9"/>
    </sheetView>
  </sheetViews>
  <sheetFormatPr defaultRowHeight="14" x14ac:dyDescent="0.3"/>
  <cols>
    <col min="4" max="4" width="26" customWidth="1"/>
  </cols>
  <sheetData>
    <row r="1" spans="1:10" x14ac:dyDescent="0.3">
      <c r="A1" t="s">
        <v>234</v>
      </c>
      <c r="B1" t="s">
        <v>235</v>
      </c>
      <c r="C1" t="s">
        <v>238</v>
      </c>
      <c r="D1" t="s">
        <v>259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1:10" x14ac:dyDescent="0.3">
      <c r="A2" t="s">
        <v>236</v>
      </c>
      <c r="B2">
        <v>2</v>
      </c>
      <c r="C2">
        <v>4</v>
      </c>
      <c r="E2" t="s">
        <v>237</v>
      </c>
      <c r="F2" t="s">
        <v>237</v>
      </c>
      <c r="G2" t="s">
        <v>237</v>
      </c>
      <c r="H2" t="s">
        <v>237</v>
      </c>
      <c r="I2" t="s">
        <v>237</v>
      </c>
      <c r="J2" t="s">
        <v>237</v>
      </c>
    </row>
    <row r="3" spans="1:10" x14ac:dyDescent="0.3">
      <c r="A3" t="s">
        <v>260</v>
      </c>
      <c r="B3">
        <v>1</v>
      </c>
      <c r="C3">
        <v>6</v>
      </c>
      <c r="E3" t="s">
        <v>241</v>
      </c>
      <c r="F3" t="s">
        <v>241</v>
      </c>
      <c r="G3" t="s">
        <v>242</v>
      </c>
      <c r="H3" t="s">
        <v>242</v>
      </c>
      <c r="I3" t="s">
        <v>243</v>
      </c>
      <c r="J3" t="s">
        <v>243</v>
      </c>
    </row>
    <row r="4" spans="1:10" x14ac:dyDescent="0.3">
      <c r="A4" t="s">
        <v>239</v>
      </c>
      <c r="B4">
        <v>1</v>
      </c>
      <c r="C4">
        <v>5</v>
      </c>
      <c r="E4" t="s">
        <v>240</v>
      </c>
      <c r="F4" t="s">
        <v>240</v>
      </c>
      <c r="G4" t="s">
        <v>241</v>
      </c>
      <c r="H4" t="s">
        <v>246</v>
      </c>
      <c r="I4" t="s">
        <v>242</v>
      </c>
      <c r="J4" t="s">
        <v>243</v>
      </c>
    </row>
    <row r="5" spans="1:10" x14ac:dyDescent="0.3">
      <c r="A5" t="s">
        <v>244</v>
      </c>
      <c r="B5">
        <v>1</v>
      </c>
      <c r="C5">
        <v>7</v>
      </c>
      <c r="E5" t="s">
        <v>241</v>
      </c>
      <c r="F5" t="s">
        <v>241</v>
      </c>
      <c r="G5" t="s">
        <v>240</v>
      </c>
      <c r="H5" t="s">
        <v>246</v>
      </c>
      <c r="I5" t="s">
        <v>246</v>
      </c>
      <c r="J5" t="s">
        <v>242</v>
      </c>
    </row>
    <row r="6" spans="1:10" x14ac:dyDescent="0.3">
      <c r="A6" t="s">
        <v>261</v>
      </c>
      <c r="B6">
        <v>1</v>
      </c>
      <c r="C6">
        <v>5</v>
      </c>
      <c r="D6" t="s">
        <v>262</v>
      </c>
      <c r="E6" t="s">
        <v>241</v>
      </c>
      <c r="F6" t="s">
        <v>240</v>
      </c>
      <c r="G6" t="s">
        <v>243</v>
      </c>
      <c r="H6" t="s">
        <v>237</v>
      </c>
      <c r="I6" t="s">
        <v>237</v>
      </c>
      <c r="J6" t="s">
        <v>237</v>
      </c>
    </row>
    <row r="8" spans="1:10" x14ac:dyDescent="0.3">
      <c r="A8" t="s">
        <v>245</v>
      </c>
    </row>
    <row r="9" spans="1:10" x14ac:dyDescent="0.3">
      <c r="A9" s="3" t="s">
        <v>248</v>
      </c>
      <c r="B9" t="s">
        <v>247</v>
      </c>
      <c r="C9" t="s">
        <v>251</v>
      </c>
      <c r="D9" t="s">
        <v>252</v>
      </c>
    </row>
    <row r="10" spans="1:10" x14ac:dyDescent="0.3">
      <c r="A10" t="s">
        <v>249</v>
      </c>
      <c r="B10" t="s">
        <v>253</v>
      </c>
      <c r="C10" t="s">
        <v>254</v>
      </c>
      <c r="D10" t="s">
        <v>257</v>
      </c>
    </row>
    <row r="11" spans="1:10" x14ac:dyDescent="0.3">
      <c r="A11" t="s">
        <v>250</v>
      </c>
      <c r="B11" t="s">
        <v>255</v>
      </c>
      <c r="C11" t="s">
        <v>256</v>
      </c>
      <c r="D11" t="s">
        <v>258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卡牌设计</vt:lpstr>
      <vt:lpstr>目标牌</vt:lpstr>
      <vt:lpstr>后备</vt:lpstr>
      <vt:lpstr>君主牌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Zijie Li</cp:lastModifiedBy>
  <dcterms:created xsi:type="dcterms:W3CDTF">2026-04-05T23:09:02Z</dcterms:created>
  <dcterms:modified xsi:type="dcterms:W3CDTF">2026-05-19T00:15:30Z</dcterms:modified>
</cp:coreProperties>
</file>