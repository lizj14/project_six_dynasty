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09DF2AF8-F2CD-458B-B4A8-B776273245B5}" xr6:coauthVersionLast="47" xr6:coauthVersionMax="47" xr10:uidLastSave="{00000000-0000-0000-0000-000000000000}"/>
  <bookViews>
    <workbookView xWindow="-110" yWindow="-110" windowWidth="25820" windowHeight="15500" tabRatio="811" activeTab="4" xr2:uid="{F283CFD4-9FFB-4A79-AF0F-7443CC209F7A}"/>
  </bookViews>
  <sheets>
    <sheet name="卡牌设计" sheetId="1" r:id="rId1"/>
    <sheet name="后备" sheetId="4" r:id="rId2"/>
    <sheet name="君主牌" sheetId="3" r:id="rId3"/>
    <sheet name="目标牌" sheetId="2" r:id="rId4"/>
    <sheet name="卡牌设计new" sheetId="6" r:id="rId5"/>
  </sheets>
  <definedNames>
    <definedName name="_xlnm._FilterDatabase" localSheetId="0" hidden="1">卡牌设计!$A$1:$AJ$152</definedName>
    <definedName name="_xlnm._FilterDatabase" localSheetId="4" hidden="1">卡牌设计new!$A$1:$AL$149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3" i="6" l="1"/>
  <c r="Q135" i="6"/>
  <c r="Q112" i="6"/>
  <c r="Q104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5" i="6"/>
  <c r="Q106" i="6"/>
  <c r="Q107" i="6"/>
  <c r="Q108" i="6"/>
  <c r="Q109" i="6"/>
  <c r="Q110" i="6"/>
  <c r="Q111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3" i="6"/>
  <c r="Q31" i="4"/>
  <c r="Q30" i="4"/>
  <c r="Q29" i="4"/>
  <c r="Q28" i="4"/>
  <c r="Q27" i="4"/>
  <c r="Q26" i="4"/>
  <c r="Q25" i="4"/>
  <c r="Q24" i="4"/>
  <c r="Q23" i="4"/>
  <c r="I2" i="6"/>
  <c r="AL2" i="6"/>
  <c r="AK2" i="6"/>
  <c r="AJ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P2" i="6"/>
  <c r="O2" i="6"/>
  <c r="N2" i="6"/>
  <c r="M2" i="6"/>
  <c r="L2" i="6"/>
  <c r="K2" i="6"/>
  <c r="J2" i="6"/>
  <c r="C2" i="6"/>
  <c r="P20" i="4"/>
  <c r="P19" i="4"/>
  <c r="AI2" i="6" l="1"/>
  <c r="P130" i="1"/>
  <c r="P18" i="4"/>
  <c r="P17" i="4"/>
  <c r="P126" i="1"/>
  <c r="P16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<sst xmlns="http://schemas.openxmlformats.org/spreadsheetml/2006/main" count="1975" uniqueCount="662">
  <si>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</si>
  <si>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</si>
  <si>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</si>
  <si>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</si>
  <si>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</si>
  <si>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</si>
  <si>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</si>
  <si>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</si>
  <si>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</si>
  <si>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</si>
  <si>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</si>
  <si>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</si>
  <si>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</si>
  <si>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</si>
  <si>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</si>
  <si>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</si>
  <si>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</si>
  <si>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</si>
  <si>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</si>
  <si>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</si>
  <si>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</si>
  <si>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</si>
  <si>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</si>
  <si>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</si>
  <si>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</si>
  <si>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</si>
  <si>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</si>
  <si>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</si>
  <si>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</si>
  <si>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</si>
  <si>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</si>
  <si>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</si>
  <si>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</si>
  <si>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</si>
  <si>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</si>
  <si>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</si>
  <si>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</si>
  <si>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</si>
  <si>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</si>
  <si>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</si>
  <si>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</si>
  <si>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</si>
  <si>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</si>
  <si>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</si>
  <si>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</si>
  <si>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</si>
  <si>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</si>
  <si>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</si>
  <si>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</si>
  <si>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</si>
  <si>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</si>
  <si>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</si>
  <si>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</si>
  <si>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</si>
  <si>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</si>
  <si>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</si>
  <si>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</si>
  <si>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</si>
  <si>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</si>
  <si>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</si>
  <si>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</si>
  <si>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</si>
  <si>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</si>
  <si>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</si>
  <si>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</si>
  <si>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</si>
  <si>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</si>
  <si>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</si>
  <si>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</si>
  <si>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</si>
  <si>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</si>
  <si>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</si>
  <si>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</si>
  <si>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</si>
  <si>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</si>
  <si>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</si>
  <si>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</si>
  <si>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</si>
  <si>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</si>
  <si>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</si>
  <si>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</si>
  <si>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</si>
  <si>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</si>
  <si>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</si>
  <si>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</si>
  <si>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</si>
  <si>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</si>
  <si>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</si>
  <si>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</si>
  <si>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</si>
  <si>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</si>
  <si>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</si>
  <si>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</si>
  <si>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</si>
  <si>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</si>
  <si>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</si>
  <si>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</si>
  <si>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</si>
  <si>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</si>
  <si>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</si>
  <si>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</si>
  <si>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</si>
  <si>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</si>
  <si>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</si>
  <si>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</si>
  <si>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</si>
  <si>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</si>
  <si>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</si>
  <si>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</si>
  <si>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加九锡</t>
    <phoneticPr fontId="18" type="noConversion"/>
  </si>
  <si>
    <t>江汉之固</t>
  </si>
  <si>
    <t>玩家控制[中原]区域</t>
    <phoneticPr fontId="18" type="noConversion"/>
  </si>
  <si>
    <t>关中故畿</t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</si>
  <si>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</si>
  <si>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</si>
  <si>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</si>
  <si>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</si>
  <si>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</si>
  <si>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</si>
  <si>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赵魏雄藩</t>
  </si>
  <si>
    <t>玩家控制[河北]区域</t>
    <phoneticPr fontId="18" type="noConversion"/>
  </si>
  <si>
    <t>表里山河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</si>
  <si>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</si>
  <si>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</si>
  <si>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</si>
  <si>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</si>
  <si>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</si>
  <si>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</si>
  <si>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</si>
  <si>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</si>
  <si>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</si>
  <si>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</si>
  <si>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</si>
  <si>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</si>
  <si>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</si>
  <si>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</si>
  <si>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</si>
  <si>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</si>
  <si>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</si>
  <si>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</si>
  <si>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</si>
  <si>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</si>
  <si>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</si>
  <si>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</si>
  <si>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</si>
  <si>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</si>
  <si>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</si>
  <si>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</si>
  <si>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</si>
  <si>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</si>
  <si>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</si>
  <si>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</si>
  <si>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</si>
  <si>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</si>
  <si>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</si>
  <si>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</si>
  <si>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</si>
  <si>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</si>
  <si>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</si>
  <si>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</si>
  <si>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</si>
  <si>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</si>
  <si>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</si>
  <si>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</si>
  <si>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</si>
  <si>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</si>
  <si>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</si>
  <si>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</si>
  <si>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</si>
  <si>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</si>
  <si>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</si>
  <si>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</si>
  <si>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</si>
  <si>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</si>
  <si>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</si>
  <si>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</si>
  <si>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</si>
  <si>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</si>
  <si>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</si>
  <si>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</si>
  <si>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</si>
  <si>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</si>
  <si>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</si>
  <si>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</si>
  <si>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</si>
  <si>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</si>
  <si>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</si>
  <si>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</si>
  <si>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</si>
  <si>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</si>
  <si>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</si>
  <si>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</si>
  <si>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</si>
  <si>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</si>
  <si>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</si>
  <si>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</si>
  <si>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</si>
  <si>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</si>
  <si>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</si>
  <si>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</si>
  <si>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</si>
  <si>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</si>
  <si>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</si>
  <si>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</si>
  <si>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</si>
  <si>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</si>
  <si>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</si>
  <si>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</si>
  <si>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</si>
  <si>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</si>
  <si>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</si>
  <si>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</si>
  <si>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</si>
  <si>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</si>
  <si>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</si>
  <si>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</si>
  <si>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</si>
  <si>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</si>
  <si>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</si>
  <si>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</si>
  <si>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</si>
  <si>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</si>
  <si>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</si>
  <si>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</si>
  <si>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</si>
  <si>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</si>
  <si>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</si>
  <si>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</si>
  <si>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</si>
  <si>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</si>
  <si>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</si>
  <si>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</si>
  <si>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</si>
  <si>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</si>
  <si>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</si>
  <si>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</si>
  <si>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</si>
  <si>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</si>
  <si>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</si>
  <si>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</si>
  <si>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</si>
  <si>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</si>
  <si>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</si>
  <si>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</si>
  <si>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</si>
  <si>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</si>
  <si>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</si>
  <si>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</si>
  <si>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</si>
  <si>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</si>
  <si>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</si>
  <si>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</si>
  <si>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</si>
  <si>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</si>
  <si>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</si>
  <si>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</si>
  <si>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</si>
  <si>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</si>
  <si>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</si>
  <si>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</si>
  <si>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</si>
  <si>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</si>
  <si>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</si>
  <si>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</si>
  <si>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</si>
  <si>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</si>
  <si>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</si>
  <si>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</si>
  <si>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</si>
  <si>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</si>
  <si>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</si>
  <si>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</si>
  <si>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</si>
  <si>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</si>
  <si>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</si>
  <si>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</si>
  <si>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</si>
  <si>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</si>
  <si>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</si>
  <si>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</si>
  <si>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</si>
  <si>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</si>
  <si>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</si>
  <si>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</si>
  <si>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</si>
  <si>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</si>
  <si>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</si>
  <si>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</si>
  <si>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</si>
  <si>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</si>
  <si>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</si>
  <si>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</si>
  <si>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</si>
  <si>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</si>
  <si>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</si>
  <si>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</si>
  <si>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</si>
  <si>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</si>
  <si>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</si>
  <si>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</si>
  <si>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</si>
  <si>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</si>
  <si>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</si>
  <si>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</si>
  <si>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</si>
  <si>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</si>
  <si>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</si>
  <si>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</si>
  <si>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</si>
  <si>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</si>
  <si>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</si>
  <si>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</si>
  <si>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</si>
  <si>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</si>
  <si>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</si>
  <si>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</si>
  <si>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</si>
  <si>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</si>
  <si>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</si>
  <si>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</si>
  <si>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</si>
  <si>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</si>
  <si>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</si>
  <si>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</si>
  <si>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</si>
  <si>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</si>
  <si>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</si>
  <si>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</si>
  <si>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</si>
  <si>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</si>
  <si>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</si>
  <si>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</si>
  <si>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</si>
  <si>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</si>
  <si>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</si>
  <si>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</si>
  <si>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</si>
  <si>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</si>
  <si>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</si>
  <si>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</si>
  <si>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</si>
  <si>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</si>
  <si>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</si>
  <si>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</si>
  <si>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</si>
  <si>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</si>
  <si>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</si>
  <si>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</si>
  <si>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</si>
  <si>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</si>
  <si>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</si>
  <si>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</si>
  <si>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</si>
  <si>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</si>
  <si>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</si>
  <si>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</si>
  <si>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</si>
  <si>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</si>
  <si>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</si>
  <si>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</si>
  <si>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</si>
  <si>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</si>
  <si>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</si>
  <si>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</si>
  <si>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</si>
  <si>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</si>
  <si>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</si>
  <si>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</si>
  <si>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</si>
  <si>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</si>
  <si>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</si>
  <si>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</si>
  <si>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</si>
  <si>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</si>
  <si>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</si>
  <si>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</si>
  <si>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</si>
  <si>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</si>
  <si>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</si>
  <si>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</si>
  <si>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</si>
  <si>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</si>
  <si>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</si>
  <si>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</si>
  <si>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</si>
  <si>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</si>
  <si>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</si>
  <si>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</si>
  <si>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</si>
  <si>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</si>
  <si>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</si>
  <si>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</si>
  <si>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</si>
  <si>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</si>
  <si>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</si>
  <si>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</si>
  <si>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</si>
  <si>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</si>
  <si>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</si>
  <si>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</si>
  <si>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</si>
  <si>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主动：[进军]1次，费用减2。被动：每次结算[进军]后，获得1vp。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</si>
  <si>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</si>
  <si>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</si>
  <si>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</si>
  <si>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</si>
  <si>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</si>
  <si>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</si>
  <si>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</si>
  <si>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</si>
  <si>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</si>
  <si>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</si>
  <si>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</si>
  <si>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</si>
  <si>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</si>
  <si>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</si>
  <si>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</si>
  <si>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</si>
  <si>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</si>
  <si>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</si>
  <si>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</si>
  <si>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</si>
  <si>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</si>
  <si>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</si>
  <si>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</si>
  <si>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</si>
  <si>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</si>
  <si>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</si>
  <si>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</si>
  <si>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</si>
  <si>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</si>
  <si>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</si>
  <si>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</si>
  <si>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</si>
  <si>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</si>
  <si>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</si>
  <si>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</si>
  <si>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</si>
  <si>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</si>
  <si>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</si>
  <si>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</si>
  <si>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</si>
  <si>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</si>
  <si>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</si>
  <si>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</si>
  <si>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</si>
  <si>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</si>
  <si>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</si>
  <si>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</si>
  <si>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</si>
  <si>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</si>
  <si>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</si>
  <si>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</si>
  <si>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</si>
  <si>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</si>
  <si>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</si>
  <si>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</si>
  <si>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</si>
  <si>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</si>
  <si>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</si>
  <si>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</si>
  <si>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</si>
  <si>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</si>
  <si>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</si>
  <si>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</si>
  <si>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</si>
  <si>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</si>
  <si>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</si>
  <si>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</si>
  <si>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</si>
  <si>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</si>
  <si>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</si>
  <si>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</si>
  <si>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</si>
  <si>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</si>
  <si>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</si>
  <si>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</si>
  <si>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</si>
  <si>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</si>
  <si>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</si>
  <si>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</si>
  <si>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</si>
  <si>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</si>
  <si>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</si>
  <si>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</si>
  <si>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</si>
  <si>
    <t>配享太庙</t>
    <phoneticPr fontId="18" type="noConversion"/>
  </si>
  <si>
    <t>友方控制[巴蜀]区域</t>
    <phoneticPr fontId="18" type="noConversion"/>
  </si>
  <si>
    <t>友方控制[中原]区域</t>
    <phoneticPr fontId="18" type="noConversion"/>
  </si>
  <si>
    <t>友方控制[关中]区域</t>
    <phoneticPr fontId="18" type="noConversion"/>
  </si>
  <si>
    <t>友方控制[山东]区域</t>
    <phoneticPr fontId="18" type="noConversion"/>
  </si>
  <si>
    <t>友方控制[河北]区域</t>
    <phoneticPr fontId="18" type="noConversion"/>
  </si>
  <si>
    <t>友方控制[山西]区域</t>
    <phoneticPr fontId="18" type="noConversion"/>
  </si>
  <si>
    <t>主动：弃1张手牌，然后摸1张牌，可以执行1个手牌行动。登场：转化[长安][弘农][安定][平阳]</t>
    <phoneticPr fontId="18" type="noConversion"/>
  </si>
  <si>
    <t>主动：弃1张手牌，然后摸1张牌，可以执行1个牌组行动。登场：转化[蓟][龙城][中山]</t>
    <phoneticPr fontId="18" type="noConversion"/>
  </si>
  <si>
    <t>主动：弃1张手牌，然后获得X军力，X=[军事]标记数（最多5）。登场：转化[盛乐][平城]，获得4军力。</t>
    <phoneticPr fontId="18" type="noConversion"/>
  </si>
  <si>
    <t>行动：2军力。本回合执行[进军]时，获得1vp。限定：需要控制[幽燕]，才能打出、执行或征发。</t>
    <phoneticPr fontId="18" type="noConversion"/>
  </si>
  <si>
    <t>行动：获得5军力。限定：占据[京口]时，才能打出、执行或征发。</t>
    <phoneticPr fontId="18" type="noConversion"/>
  </si>
  <si>
    <t>被动：任意玩家提高行动顺位时，获得2vp。每次打出[权谋]标记时，获得2vp。登场：先动值8。获得2顺位，2功绩和2威望，转化[合肥][寿春]。</t>
    <phoneticPr fontId="18" type="noConversion"/>
  </si>
  <si>
    <t>被动：每次获得功绩后，摸1张牌。登场：先动值2。获得1威望和1功绩（不触发被动效果）。在其他东晋玩家完成登场效果后，转化2个[建康]以外的司马家地点。</t>
    <phoneticPr fontId="18" type="noConversion"/>
  </si>
  <si>
    <t>被动：每次存档或弃置[流民]时，获得1军力或2vp。登场：先动值4。转化[京口][广陵]。获得1功绩和1威望。</t>
    <phoneticPr fontId="18" type="noConversion"/>
  </si>
  <si>
    <t>被动：每次打出[文化]牌或者执行[文化]策略时，获得2vp。登场：先动值6。转化[张掖][姑臧]。获得1功绩和1威望。</t>
    <phoneticPr fontId="18" type="noConversion"/>
  </si>
  <si>
    <t>被动：每次存档1张牌时，获得2vp。登场：先动值5。转化[南郡][襄阳]。获得1功绩和1威望。</t>
    <phoneticPr fontId="18" type="noConversion"/>
  </si>
  <si>
    <t>被动：幕僚区空位总数为5。主动：如果拥有4种不同的标记，获得1个朝堂行动；否则，可以打出1张幕僚牌。登场：先动值1。</t>
    <phoneticPr fontId="18" type="noConversion"/>
  </si>
  <si>
    <t>被动：每次结算[转化]后，摸1张牌并获得1vp。登场：先动值3。获得4军力。获得2威望。</t>
    <phoneticPr fontId="18" type="noConversion"/>
  </si>
  <si>
    <t>被动：每次执行[内政]策略或者打出[内政]牌时，获得2vp。登场：先动值7。转化[吴][会稽]。获得1功绩和1威望。</t>
    <phoneticPr fontId="18" type="noConversion"/>
  </si>
  <si>
    <t>主动：支付1张手牌，然后摸1张牌，可以执行1个手牌行动。登场：转化[长安][弘农][安定][平阳]</t>
    <phoneticPr fontId="18" type="noConversion"/>
  </si>
  <si>
    <t>名臣：支付2vp，然后获得3军力。补充1次。</t>
    <phoneticPr fontId="18" type="noConversion"/>
  </si>
  <si>
    <t>名臣：支付1张手牌，然后存档1张候选策略牌。补充1次。</t>
    <phoneticPr fontId="18" type="noConversion"/>
  </si>
  <si>
    <t>强制：在东晋、北方牌库中，各选择1张费用最高的名臣牌，放回游戏盒中。摸1张牌。</t>
    <phoneticPr fontId="18" type="noConversion"/>
  </si>
  <si>
    <t>名臣</t>
    <phoneticPr fontId="18" type="noConversion"/>
  </si>
  <si>
    <t>主动：支付1张手牌，然后摸1张牌，可以执行1个朝堂行动。登场：转化[蓟][龙城][中山]</t>
    <phoneticPr fontId="18" type="noConversion"/>
  </si>
  <si>
    <t>名臣：支付1vp，然后获得1军力，摸1张牌，补充1次。</t>
    <phoneticPr fontId="18" type="noConversion"/>
  </si>
  <si>
    <t>2军力</t>
    <phoneticPr fontId="18" type="noConversion"/>
  </si>
  <si>
    <t>策略牌</t>
    <phoneticPr fontId="18" type="noConversion"/>
  </si>
  <si>
    <t>朝堂：3军力</t>
    <phoneticPr fontId="18" type="noConversion"/>
  </si>
  <si>
    <t>朝堂：2vp，提升1级等级。</t>
  </si>
  <si>
    <t>朝堂：存档1张候选策略牌。</t>
  </si>
  <si>
    <t>朝堂：摸2张牌。</t>
  </si>
  <si>
    <t>朝堂：2军力。从东晋面板获得[北伐]标记。被动：[北伐]不能被存档或弃置。</t>
  </si>
  <si>
    <t>朝堂：支付1张手牌，然后提高1级顺位，传播1次[玄学]。被动：[加官进爵]不能被存档或弃置。</t>
  </si>
  <si>
    <t>朝堂：2军力。选择1个玩家，随机抽取他的1张手牌。</t>
  </si>
  <si>
    <t>朝堂：转化1个相邻中立地点，可以打出1张名臣牌。</t>
  </si>
  <si>
    <t>朝堂：选择1个东晋玩家，给予其1张手牌，然后传播1次文化，转化1个相邻中立地点。</t>
  </si>
  <si>
    <t>朝堂：获得3军力，存档此牌。被动：每回合前2次[进军]时，费用减1。区域奖励改为0/1vp。</t>
  </si>
  <si>
    <t>朝堂：转化1个相邻中立地点。获得2军力。</t>
  </si>
  <si>
    <t>朝堂：3军力。[僭越]其他每个东晋玩家各弃1张手牌。3军力。</t>
  </si>
  <si>
    <t>朝堂：提高1级[佛学]贡献度，从供应轨移除1个[佛学]标记，获得4vp。</t>
  </si>
  <si>
    <t>朝堂：传播1次[佛学]，获得2vp。</t>
  </si>
  <si>
    <t>朝堂：提高1级文化贡献度，从文化轨上移除1个对应的文化标记。获得X vp，X=文化贡献度之和。</t>
  </si>
  <si>
    <t>朝堂：获得2军力。免费[加固]2次。</t>
  </si>
  <si>
    <t>朝堂：支付2vp，获得5军力。</t>
  </si>
  <si>
    <t>朝堂：5军力。从[晋]面板获得[北伐]标记。被动：[儒学]等级&gt;1时，可以打出或执行。</t>
  </si>
  <si>
    <t>朝堂：3军力。摸1张牌。</t>
  </si>
  <si>
    <t>东晋朝堂：3军力。免费[加固]1次。北方朝堂：转化1个中立地点，获得1军力。</t>
  </si>
  <si>
    <t>朝堂：9vp</t>
  </si>
  <si>
    <t>主动：支付1张手牌，然后获得X军力，X=[军事]等级。登场：转化[盛乐][平城]，获得4军力。</t>
    <phoneticPr fontId="18" type="noConversion"/>
  </si>
  <si>
    <t>1军力2vp</t>
    <phoneticPr fontId="18" type="noConversion"/>
  </si>
  <si>
    <t>名臣：支付3军力，传播1次文化，然后，获得X vp，X=文化贡献等级之和。补充1次。</t>
    <phoneticPr fontId="18" type="noConversion"/>
  </si>
  <si>
    <t>1军力4vp</t>
    <phoneticPr fontId="18" type="noConversion"/>
  </si>
  <si>
    <t>名臣：支付2军力，在东晋弃牌区放置1张[流民]。补充1次。</t>
    <phoneticPr fontId="18" type="noConversion"/>
  </si>
  <si>
    <t>被动：每次执行[内政]策略或者打出[内政]牌时，获得2vp。登场：先动值7。转化[吴]。获得3功绩和2威望。</t>
    <phoneticPr fontId="18" type="noConversion"/>
  </si>
  <si>
    <t>被动：任意玩家提高行动顺位时，获得2vp。登场：先动值8。获得2顺位，3功绩和3威望，转化[合肥][寿春]。</t>
    <phoneticPr fontId="18" type="noConversion"/>
  </si>
  <si>
    <t>事件牌</t>
    <phoneticPr fontId="18" type="noConversion"/>
  </si>
  <si>
    <t>转化2个相邻中立地点，存档此牌。终局：如果控制的地点数&lt;=24，失去12vp。</t>
    <phoneticPr fontId="18" type="noConversion"/>
  </si>
  <si>
    <t>名臣：支付1军力，选择1个玄学区域的未加固地点，转为中立控制。补充1次。</t>
    <phoneticPr fontId="18" type="noConversion"/>
  </si>
  <si>
    <t>6vp</t>
    <phoneticPr fontId="18" type="noConversion"/>
  </si>
  <si>
    <t>名臣：获得X vp，X=[文化]等级。可以支付2vp，然后摸1张牌。补充1次。</t>
    <phoneticPr fontId="18" type="noConversion"/>
  </si>
  <si>
    <t>检索1次[文化]，然后存档此牌。</t>
    <phoneticPr fontId="18" type="noConversion"/>
  </si>
  <si>
    <t>降低1点[威望]或[功绩]，转化1个司马家边境地点。[僭越]可以转化1个东晋玩家地点。</t>
    <phoneticPr fontId="18" type="noConversion"/>
  </si>
  <si>
    <t>提高1级威望，转化1个司马家边境地点，然后存档此牌。</t>
    <phoneticPr fontId="18" type="noConversion"/>
  </si>
  <si>
    <t>被动：每次获得功绩后，摸1张牌。登场：先动值2。获得2威望和2功绩（不触发被动效果）。在其他东晋玩家完成登场效果后，转化2个司马家边境地点。</t>
    <phoneticPr fontId="18" type="noConversion"/>
  </si>
  <si>
    <t>名臣：打出1张[军事]牌。补充1次。</t>
    <phoneticPr fontId="18" type="noConversion"/>
  </si>
  <si>
    <t>2军力1vp</t>
    <phoneticPr fontId="18" type="noConversion"/>
  </si>
  <si>
    <t>名臣：打出1张[文化]牌。补充1次。</t>
    <phoneticPr fontId="18" type="noConversion"/>
  </si>
  <si>
    <t>1军力3vp</t>
    <phoneticPr fontId="18" type="noConversion"/>
  </si>
  <si>
    <t>检索1次[策略]，然后存档此牌。</t>
    <phoneticPr fontId="18" type="noConversion"/>
  </si>
  <si>
    <t>被动：每次存档或弃置[流民]时，获得1军力或2vp。登场：先动值4。转化[京口][广陵]。获得2功绩和2威望。</t>
    <phoneticPr fontId="18" type="noConversion"/>
  </si>
  <si>
    <t>名臣：支付1张手牌，弃置1张候选策略牌，然后摸1张手牌，补充2次。</t>
    <phoneticPr fontId="18" type="noConversion"/>
  </si>
  <si>
    <t>朝堂：弃置1张[流民]，然后获得5军力。</t>
    <phoneticPr fontId="18" type="noConversion"/>
  </si>
  <si>
    <t>在本国弃牌区放置1张[流民]。转化1个未被控制区域的中立地点。获得1军力。</t>
    <phoneticPr fontId="18" type="noConversion"/>
  </si>
  <si>
    <t>被动：每次打出[文化]牌或者执行[文化]策略时，获得2vp。登场：先动值6。转化[张掖][姑臧]。获得2功绩和2威望。</t>
    <phoneticPr fontId="18" type="noConversion"/>
  </si>
  <si>
    <t>-</t>
    <phoneticPr fontId="18" type="noConversion"/>
  </si>
  <si>
    <t>朝堂：免费[进军]1次。获得3军力。被动：控制[西凉]时，才能打出或执行。</t>
    <phoneticPr fontId="18" type="noConversion"/>
  </si>
  <si>
    <t>名臣：获得1军力。补充1次。本回合，每次打出[军事]牌或执行[军事]策略后，获得1vp。</t>
    <phoneticPr fontId="18" type="noConversion"/>
  </si>
  <si>
    <t>检索1次[名臣]，然后存档此牌。</t>
    <phoneticPr fontId="18" type="noConversion"/>
  </si>
  <si>
    <t>被动：每次存档1张牌时，获得1军力1vp。登场：先动值5。转化[南郡][襄阳]。获得2功绩和2威望。</t>
    <phoneticPr fontId="18" type="noConversion"/>
  </si>
  <si>
    <t>名臣：支付1vp，然后获得2军力。补充1次。</t>
    <phoneticPr fontId="18" type="noConversion"/>
  </si>
  <si>
    <t>[僭越]重置东晋君主牌，获得1威望，然后存档此牌。</t>
    <phoneticPr fontId="18" type="noConversion"/>
  </si>
  <si>
    <t>被动：每次结算[转化]后，摸1张牌并获得2vp。登场：先动值3。获得4军力。获得1功绩和3威望。</t>
    <phoneticPr fontId="18" type="noConversion"/>
  </si>
  <si>
    <t>存档此牌。终局：如果友方控制[山西]，获得10vp。</t>
    <phoneticPr fontId="18" type="noConversion"/>
  </si>
  <si>
    <t>提升1级等级，存档此牌。</t>
    <phoneticPr fontId="18" type="noConversion"/>
  </si>
  <si>
    <t>3军力</t>
    <phoneticPr fontId="18" type="noConversion"/>
  </si>
  <si>
    <t>名臣：支付1军力，然后免费[进军]1次。补充1次。</t>
    <phoneticPr fontId="18" type="noConversion"/>
  </si>
  <si>
    <t>名臣：弃置1张候选策略牌。可以支付2军力，然后转化1个相邻中立地点。补充2次。</t>
    <phoneticPr fontId="18" type="noConversion"/>
  </si>
  <si>
    <t>名臣：支付1张手牌，然后摸1张牌。可以支付2军力，然后转化1个相邻中立地点。补充1次。</t>
    <phoneticPr fontId="18" type="noConversion"/>
  </si>
  <si>
    <t>朝堂：2军力3vp，补充1次。</t>
    <phoneticPr fontId="18" type="noConversion"/>
  </si>
  <si>
    <t>名臣：免费[加固]友方地点1次。补充1次。</t>
    <phoneticPr fontId="18" type="noConversion"/>
  </si>
  <si>
    <t>获得7军力。</t>
    <phoneticPr fontId="18" type="noConversion"/>
  </si>
  <si>
    <t>权谋等级&gt;=3</t>
    <phoneticPr fontId="18" type="noConversion"/>
  </si>
  <si>
    <t>权谋等级&gt;=5</t>
    <phoneticPr fontId="18" type="noConversion"/>
  </si>
  <si>
    <t>新亭对泣</t>
    <phoneticPr fontId="18" type="noConversion"/>
  </si>
  <si>
    <t>被动：执行名臣行动时，也可以获得等级奖励。登场：先动值1。</t>
    <phoneticPr fontId="18" type="noConversion"/>
  </si>
  <si>
    <t>友方控制[巴蜀]时，可以打出。传播1次[儒学]，存档此牌。</t>
    <phoneticPr fontId="18" type="noConversion"/>
  </si>
  <si>
    <t>4个等级轨都至少1级时，可以打出。存档此牌。</t>
    <phoneticPr fontId="18" type="noConversion"/>
  </si>
  <si>
    <t>改版删除的牌</t>
    <phoneticPr fontId="18" type="noConversion"/>
  </si>
  <si>
    <t>名臣：支付1vp，获得2军力。补充1次。</t>
    <phoneticPr fontId="18" type="noConversion"/>
  </si>
  <si>
    <t>3军力-1vp</t>
    <phoneticPr fontId="18" type="noConversion"/>
  </si>
  <si>
    <t>名臣：获得1军力。补充1次。</t>
    <phoneticPr fontId="18" type="noConversion"/>
  </si>
  <si>
    <t>2军力2vp</t>
    <phoneticPr fontId="18" type="noConversion"/>
  </si>
  <si>
    <t>名臣：获得2军力。补充1次。</t>
    <phoneticPr fontId="18" type="noConversion"/>
  </si>
  <si>
    <t>存档此牌。终局：获得2X vp，X=北方和东晋国家牌库中[流民]的数量。</t>
    <phoneticPr fontId="18" type="noConversion"/>
  </si>
  <si>
    <t>检索1次[权谋]，然后存档此牌。</t>
    <phoneticPr fontId="18" type="noConversion"/>
  </si>
  <si>
    <t>控制[塞外]时，可以打出。将部队储备区的1个部队放回游戏盒中。存档此牌。</t>
    <phoneticPr fontId="18" type="noConversion"/>
  </si>
  <si>
    <t>控制[西凉]时，可以打出。将部队储备区的2个部队放回游戏盒中。存档此牌。</t>
    <phoneticPr fontId="18" type="noConversion"/>
  </si>
  <si>
    <t>控制[幽燕]时，可以打出。将部队储备区的2个部队放回游戏盒中。存档此牌。</t>
    <phoneticPr fontId="18" type="noConversion"/>
  </si>
  <si>
    <t>获得5军力。存档此牌。</t>
    <phoneticPr fontId="18" type="noConversion"/>
  </si>
  <si>
    <t>朝堂：免费[进军]1次。获得2军力。</t>
    <phoneticPr fontId="18" type="noConversion"/>
  </si>
  <si>
    <t>从手牌选择1张[名臣]牌，放置到本国牌库底，获得1功绩，然后存档此牌。</t>
    <phoneticPr fontId="18" type="noConversion"/>
  </si>
  <si>
    <t>10/16</t>
    <phoneticPr fontId="18" type="noConversion"/>
  </si>
  <si>
    <t>友方控制[西凉]区域</t>
    <phoneticPr fontId="18" type="noConversion"/>
  </si>
  <si>
    <t>玩家控制[西凉]区域</t>
    <phoneticPr fontId="18" type="noConversion"/>
  </si>
  <si>
    <t>凉州驻观</t>
    <phoneticPr fontId="18" type="noConversion"/>
  </si>
  <si>
    <t>8/14</t>
    <phoneticPr fontId="18" type="noConversion"/>
  </si>
  <si>
    <t>入木三分</t>
    <phoneticPr fontId="18" type="noConversion"/>
  </si>
  <si>
    <t>6/14</t>
    <phoneticPr fontId="18" type="noConversion"/>
  </si>
  <si>
    <t>有2个等级轨道升级到5级</t>
    <phoneticPr fontId="18" type="noConversion"/>
  </si>
  <si>
    <t>有1个等级轨道升级到5级</t>
    <phoneticPr fontId="18" type="noConversion"/>
  </si>
  <si>
    <t>朝堂：免费[进军]1次。获得3军力。被动：控制[幽燕]时，才能打出或执行。</t>
    <phoneticPr fontId="18" type="noConversion"/>
  </si>
  <si>
    <t>选择1个非东晋占据的[儒学]区域的地点，转为司马家占据。[僭越]改为玩家占据。</t>
    <phoneticPr fontId="18" type="noConversion"/>
  </si>
  <si>
    <t>提高1级等级。</t>
    <phoneticPr fontId="18" type="noConversion"/>
  </si>
  <si>
    <t>在本国弃牌区加入1张[流民]，然后获得4军力。</t>
    <phoneticPr fontId="18" type="noConversion"/>
  </si>
  <si>
    <t>占据[荆襄]区域任何地点时，可以打出，获得1军力，然后存档此牌。</t>
    <phoneticPr fontId="18" type="noConversion"/>
  </si>
  <si>
    <t>提高1级顺位，传播1次[佛学]，存档此牌。</t>
    <phoneticPr fontId="18" type="noConversion"/>
  </si>
  <si>
    <t>东晋朝堂：6vp，司马家获得7vp；北方朝堂：9vp。</t>
    <phoneticPr fontId="18" type="noConversion"/>
  </si>
  <si>
    <t>朝堂：控制1个区域时可以执行。获得4军力。摸1张牌。</t>
    <phoneticPr fontId="18" type="noConversion"/>
  </si>
  <si>
    <t>朝堂：摸3张牌。</t>
    <phoneticPr fontId="18" type="noConversion"/>
  </si>
  <si>
    <t>水师</t>
    <phoneticPr fontId="18" type="noConversion"/>
  </si>
  <si>
    <t>策略-军备</t>
    <phoneticPr fontId="18" type="noConversion"/>
  </si>
  <si>
    <t>朝堂：免费[进军]1次，目标地点必须在[江南][淮南][荆襄][巴蜀]区域内。获得2军力。</t>
    <phoneticPr fontId="18" type="noConversion"/>
  </si>
  <si>
    <t>却月阵</t>
    <phoneticPr fontId="18" type="noConversion"/>
  </si>
  <si>
    <t>策略-特殊</t>
    <phoneticPr fontId="18" type="noConversion"/>
  </si>
  <si>
    <t>朝堂：获得5军力。</t>
    <phoneticPr fontId="18" type="noConversion"/>
  </si>
  <si>
    <t>朝堂：支付1张手牌，然后存档1张候选策略牌，获得3军力。</t>
    <phoneticPr fontId="18" type="noConversion"/>
  </si>
  <si>
    <t>打出1张[名臣]牌，提升对应的等级1级。</t>
    <phoneticPr fontId="18" type="noConversion"/>
  </si>
  <si>
    <t>名臣：支付1张手牌，传播1次[玄学]。补充1次。</t>
    <phoneticPr fontId="18" type="noConversion"/>
  </si>
  <si>
    <t>钱凤</t>
    <phoneticPr fontId="18" type="noConversion"/>
  </si>
  <si>
    <t>幕僚-特殊</t>
    <phoneticPr fontId="18" type="noConversion"/>
  </si>
  <si>
    <t>名臣：补充1次。[僭越]支付1军力，摸2张牌。</t>
    <phoneticPr fontId="18" type="noConversion"/>
  </si>
  <si>
    <t>角色/初始</t>
    <phoneticPr fontId="18" type="noConversion"/>
  </si>
  <si>
    <t>太史令</t>
    <phoneticPr fontId="18" type="noConversion"/>
  </si>
  <si>
    <t>太常寺</t>
    <phoneticPr fontId="18" type="noConversion"/>
  </si>
  <si>
    <t>朝堂：传播1次文化，提高1级等级。</t>
    <phoneticPr fontId="18" type="noConversion"/>
  </si>
  <si>
    <t>朝堂：支付1军力，然后传播1次[佛学]，获得2X vp，X=文化等级。</t>
    <phoneticPr fontId="18" type="noConversion"/>
  </si>
  <si>
    <t>1军力4vp</t>
    <phoneticPr fontId="18" type="noConversion"/>
  </si>
  <si>
    <t>朝堂：支付1军力，然后存档1张候选策略牌，传播1次[儒学]。</t>
    <phoneticPr fontId="18" type="noConversion"/>
  </si>
  <si>
    <t>朝堂：支付2vp，然后传播1次[儒学]，可以执行1次名臣行动。</t>
    <phoneticPr fontId="18" type="noConversion"/>
  </si>
  <si>
    <t>朝堂：传播1次[玄学]。打出1张不含[军事]标记的手牌。</t>
    <phoneticPr fontId="18" type="noConversion"/>
  </si>
  <si>
    <t>选择1个东晋玩家，该玩家失去1军力。然后，获得1军力。[僭越]存档此牌。</t>
    <phoneticPr fontId="18" type="noConversion"/>
  </si>
  <si>
    <t>提高1级顺位。存档此牌。[僭越]额外提高1级顺位。</t>
    <phoneticPr fontId="18" type="noConversion"/>
  </si>
  <si>
    <t>转化1个东晋地点。存档此牌。[僭越]获得1威望。</t>
    <phoneticPr fontId="18" type="noConversion"/>
  </si>
  <si>
    <t>选择1个东晋玩家，降低1级顺位。存档此牌。[僭越]额外降低1级顺位。</t>
    <phoneticPr fontId="18" type="noConversion"/>
  </si>
  <si>
    <t>顺位最低时可以打出。提高1级顺位。存档此牌。</t>
    <phoneticPr fontId="18" type="noConversion"/>
  </si>
  <si>
    <t>[僭越]将1张东晋朝堂区的[名臣]牌放回游戏盒中，然后获得1威望，补充1次。</t>
    <phoneticPr fontId="18" type="noConversion"/>
  </si>
  <si>
    <t>名臣：支付1军力，然后选择[文化][内政][军事]或[权谋]标记，检索该标记。补充1次。</t>
    <phoneticPr fontId="18" type="noConversion"/>
  </si>
  <si>
    <t>幕僚-文化</t>
    <phoneticPr fontId="18" type="noConversion"/>
  </si>
  <si>
    <t>东山再起</t>
    <phoneticPr fontId="18" type="noConversion"/>
  </si>
  <si>
    <t>沙门还俗</t>
    <phoneticPr fontId="18" type="noConversion"/>
  </si>
  <si>
    <t>事件-文化</t>
    <phoneticPr fontId="18" type="noConversion"/>
  </si>
  <si>
    <t>选择1个[佛学]区域，其佛学标记返回供应轨，该区域的控制者摸2张牌。</t>
    <phoneticPr fontId="18" type="noConversion"/>
  </si>
  <si>
    <t>名臣：没有手牌时可以使用，摸1张牌，获得1军力。补充1次。</t>
    <phoneticPr fontId="18" type="noConversion"/>
  </si>
  <si>
    <t>名臣：支付1张手牌，然后投掷1个皇帝任务，摸1张手牌，补充1次。被动：需要[儒学]等级&gt;0，才能打出。</t>
    <phoneticPr fontId="18" type="noConversion"/>
  </si>
  <si>
    <t>支道林</t>
    <phoneticPr fontId="18" type="noConversion"/>
  </si>
  <si>
    <t>名臣：支付1张手牌，传播1次[佛学]。补充1次。</t>
    <phoneticPr fontId="18" type="noConversion"/>
  </si>
  <si>
    <t>贺循</t>
    <phoneticPr fontId="18" type="noConversion"/>
  </si>
  <si>
    <t>名臣：支付1张手牌，传播1次[儒学]。补充1次。</t>
    <phoneticPr fontId="18" type="noConversion"/>
  </si>
  <si>
    <t>名臣：选择1个[佛学]区域，其控制者失去1军力。获得X vp，X=[佛学]贡献度。补充1次。</t>
    <phoneticPr fontId="18" type="noConversion"/>
  </si>
  <si>
    <t>卢循</t>
    <phoneticPr fontId="18" type="noConversion"/>
  </si>
  <si>
    <t>事件-军事</t>
    <phoneticPr fontId="18" type="noConversion"/>
  </si>
  <si>
    <t>选择一项：将1个[玄学]区域的未加固地点转化为中立占据；或者支付4军力，存档此牌。</t>
    <phoneticPr fontId="18" type="noConversion"/>
  </si>
  <si>
    <t>干宝</t>
    <phoneticPr fontId="18" type="noConversion"/>
  </si>
  <si>
    <t>名臣：选择1项：获得X vp，X=[文化]等级。补充1次。或者支付2军力，存档1张候选策略牌。补充1次。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</si>
</sst>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zoomScale="125" zoomScaleNormal="125" workbookViewId="0">
      <pane xSplit="2" ySplit="2" topLeftCell="T69" activePane="bottomRight" state="frozen"/>
      <selection pane="topRight" activeCell="C1" sqref="C1"/>
      <selection pane="bottomLeft" activeCell="A3" sqref="A3"/>
      <selection pane="bottomRight" sqref="A1:I29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160</v>
      </c>
      <c r="F1" t="s">
        <v>221</v>
      </c>
      <c r="G1" t="s">
        <v>4</v>
      </c>
      <c r="H1" t="s">
        <v>5</v>
      </c>
      <c r="I1" t="s">
        <v>6</v>
      </c>
      <c r="J1" t="s">
        <v>7</v>
      </c>
      <c r="K1" t="s">
        <v>166</v>
      </c>
      <c r="L1" t="s">
        <v>8</v>
      </c>
      <c r="M1" t="s">
        <v>78</v>
      </c>
      <c r="N1" t="s">
        <v>79</v>
      </c>
      <c r="O1" t="s">
        <v>90</v>
      </c>
      <c r="P1" t="s">
        <v>171</v>
      </c>
      <c r="Q1" t="s">
        <v>130</v>
      </c>
      <c r="R1" t="s">
        <v>131</v>
      </c>
      <c r="S1" t="s">
        <v>132</v>
      </c>
      <c r="T1" t="s">
        <v>164</v>
      </c>
      <c r="U1" t="s">
        <v>133</v>
      </c>
      <c r="V1" t="s">
        <v>134</v>
      </c>
      <c r="W1" t="s">
        <v>135</v>
      </c>
      <c r="X1" t="s">
        <v>136</v>
      </c>
      <c r="Y1" t="s">
        <v>137</v>
      </c>
      <c r="Z1" t="s">
        <v>138</v>
      </c>
      <c r="AA1" t="s">
        <v>139</v>
      </c>
      <c r="AB1" t="s">
        <v>140</v>
      </c>
      <c r="AC1" t="s">
        <v>143</v>
      </c>
      <c r="AD1" t="s">
        <v>141</v>
      </c>
      <c r="AE1" t="s">
        <v>165</v>
      </c>
      <c r="AF1" t="s">
        <v>277</v>
      </c>
      <c r="AG1" t="s">
        <v>142</v>
      </c>
      <c r="AH1" t="s">
        <v>150</v>
      </c>
      <c r="AI1" t="s">
        <v>151</v>
      </c>
      <c r="AJ1" t="s">
        <v>152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161</v>
      </c>
      <c r="G3" t="s">
        <v>13</v>
      </c>
      <c r="H3">
        <v>2</v>
      </c>
      <c r="P3">
        <f>SUM(Q3:AE3)</f>
        <v>0</v>
      </c>
    </row>
    <row r="4" spans="1:36" x14ac:dyDescent="0.3">
      <c r="A4" s="3" t="s">
        <v>10</v>
      </c>
      <c r="B4" t="s">
        <v>14</v>
      </c>
      <c r="C4">
        <v>0</v>
      </c>
      <c r="D4" t="s">
        <v>12</v>
      </c>
      <c r="E4" t="s">
        <v>161</v>
      </c>
      <c r="F4" t="s">
        <v>15</v>
      </c>
      <c r="G4" t="s">
        <v>16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395</v>
      </c>
      <c r="C5">
        <v>0</v>
      </c>
      <c r="D5" t="s">
        <v>391</v>
      </c>
      <c r="E5" t="s">
        <v>392</v>
      </c>
      <c r="F5" t="s">
        <v>393</v>
      </c>
      <c r="G5" t="s">
        <v>394</v>
      </c>
      <c r="H5">
        <v>1</v>
      </c>
      <c r="I5">
        <v>1</v>
      </c>
    </row>
    <row r="6" spans="1:36" x14ac:dyDescent="0.3">
      <c r="A6" s="4" t="s">
        <v>10</v>
      </c>
      <c r="B6" t="s">
        <v>17</v>
      </c>
      <c r="C6">
        <v>0</v>
      </c>
      <c r="D6" t="s">
        <v>12</v>
      </c>
      <c r="E6" t="s">
        <v>161</v>
      </c>
      <c r="F6" t="s">
        <v>62</v>
      </c>
      <c r="G6" t="s">
        <v>421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18</v>
      </c>
      <c r="C7">
        <v>0</v>
      </c>
      <c r="D7" t="s">
        <v>12</v>
      </c>
      <c r="E7" t="s">
        <v>161</v>
      </c>
      <c r="F7" t="s">
        <v>471</v>
      </c>
      <c r="G7" t="s">
        <v>421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19</v>
      </c>
      <c r="C8">
        <v>1</v>
      </c>
      <c r="D8" t="s">
        <v>12</v>
      </c>
      <c r="E8" t="s">
        <v>161</v>
      </c>
      <c r="F8" t="s">
        <v>442</v>
      </c>
      <c r="G8" t="s">
        <v>61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21</v>
      </c>
      <c r="C9">
        <v>1</v>
      </c>
      <c r="D9" t="s">
        <v>12</v>
      </c>
      <c r="E9" t="s">
        <v>161</v>
      </c>
      <c r="F9" t="s">
        <v>440</v>
      </c>
      <c r="G9" t="s">
        <v>425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390</v>
      </c>
      <c r="C10">
        <v>2</v>
      </c>
      <c r="D10" t="s">
        <v>12</v>
      </c>
      <c r="E10" t="s">
        <v>161</v>
      </c>
      <c r="F10" t="s">
        <v>403</v>
      </c>
      <c r="G10" t="s">
        <v>400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22</v>
      </c>
      <c r="B11" t="s">
        <v>22</v>
      </c>
      <c r="C11" t="s">
        <v>13</v>
      </c>
      <c r="D11" t="s">
        <v>23</v>
      </c>
      <c r="E11" t="s">
        <v>162</v>
      </c>
      <c r="F11" t="s">
        <v>493</v>
      </c>
      <c r="L11">
        <v>1</v>
      </c>
      <c r="P11">
        <f t="shared" si="2"/>
        <v>0</v>
      </c>
    </row>
    <row r="12" spans="1:36" x14ac:dyDescent="0.3">
      <c r="A12" s="3" t="s">
        <v>22</v>
      </c>
      <c r="B12" t="s">
        <v>24</v>
      </c>
      <c r="C12">
        <v>3</v>
      </c>
      <c r="D12" t="s">
        <v>25</v>
      </c>
      <c r="E12" t="s">
        <v>130</v>
      </c>
      <c r="F12" t="s">
        <v>426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22</v>
      </c>
      <c r="B13" t="s">
        <v>35</v>
      </c>
      <c r="C13">
        <v>2</v>
      </c>
      <c r="D13" t="s">
        <v>25</v>
      </c>
      <c r="E13" t="s">
        <v>132</v>
      </c>
      <c r="F13" t="s">
        <v>313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22</v>
      </c>
      <c r="B14" t="s">
        <v>87</v>
      </c>
      <c r="C14">
        <v>1</v>
      </c>
      <c r="D14" t="s">
        <v>81</v>
      </c>
      <c r="E14" t="s">
        <v>135</v>
      </c>
      <c r="F14" t="s">
        <v>449</v>
      </c>
      <c r="G14" t="s">
        <v>425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26</v>
      </c>
      <c r="B15" t="s">
        <v>27</v>
      </c>
      <c r="C15" t="s">
        <v>13</v>
      </c>
      <c r="D15" t="s">
        <v>23</v>
      </c>
      <c r="E15" t="s">
        <v>162</v>
      </c>
      <c r="F15" t="s">
        <v>494</v>
      </c>
      <c r="J15">
        <v>1</v>
      </c>
      <c r="P15">
        <f t="shared" si="2"/>
        <v>0</v>
      </c>
    </row>
    <row r="16" spans="1:36" x14ac:dyDescent="0.3">
      <c r="A16" s="3" t="s">
        <v>26</v>
      </c>
      <c r="B16" t="s">
        <v>28</v>
      </c>
      <c r="C16">
        <v>1</v>
      </c>
      <c r="D16" t="s">
        <v>12</v>
      </c>
      <c r="E16" t="s">
        <v>135</v>
      </c>
      <c r="F16" t="s">
        <v>476</v>
      </c>
      <c r="G16" t="s">
        <v>425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26</v>
      </c>
      <c r="B17" t="s">
        <v>29</v>
      </c>
      <c r="C17">
        <v>3</v>
      </c>
      <c r="D17" t="s">
        <v>12</v>
      </c>
      <c r="E17" t="s">
        <v>133</v>
      </c>
      <c r="F17" t="s">
        <v>496</v>
      </c>
      <c r="G17" t="s">
        <v>396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26</v>
      </c>
      <c r="B18" t="s">
        <v>68</v>
      </c>
      <c r="C18">
        <v>3</v>
      </c>
      <c r="D18" t="s">
        <v>69</v>
      </c>
      <c r="E18" t="s">
        <v>130</v>
      </c>
      <c r="F18" t="s">
        <v>446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30</v>
      </c>
      <c r="B19" t="s">
        <v>31</v>
      </c>
      <c r="C19" t="s">
        <v>13</v>
      </c>
      <c r="D19" t="s">
        <v>23</v>
      </c>
      <c r="E19" t="s">
        <v>162</v>
      </c>
      <c r="F19" t="s">
        <v>495</v>
      </c>
      <c r="J19">
        <v>1</v>
      </c>
      <c r="P19">
        <f t="shared" si="2"/>
        <v>0</v>
      </c>
    </row>
    <row r="20" spans="1:27" x14ac:dyDescent="0.3">
      <c r="A20" s="3" t="s">
        <v>30</v>
      </c>
      <c r="B20" t="s">
        <v>32</v>
      </c>
      <c r="C20">
        <v>1</v>
      </c>
      <c r="D20" t="s">
        <v>12</v>
      </c>
      <c r="E20" t="s">
        <v>135</v>
      </c>
      <c r="F20" t="s">
        <v>481</v>
      </c>
      <c r="G20" t="s">
        <v>61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30</v>
      </c>
      <c r="B21" t="s">
        <v>75</v>
      </c>
      <c r="C21">
        <v>2</v>
      </c>
      <c r="D21" t="s">
        <v>69</v>
      </c>
      <c r="E21" t="s">
        <v>131</v>
      </c>
      <c r="F21" t="s">
        <v>447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30</v>
      </c>
      <c r="B22" t="s">
        <v>210</v>
      </c>
      <c r="C22">
        <v>1</v>
      </c>
      <c r="D22" t="s">
        <v>66</v>
      </c>
      <c r="E22" t="s">
        <v>139</v>
      </c>
      <c r="F22" t="s">
        <v>286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33</v>
      </c>
      <c r="B23" t="s">
        <v>34</v>
      </c>
      <c r="C23">
        <v>2</v>
      </c>
      <c r="D23" t="s">
        <v>25</v>
      </c>
      <c r="E23" t="s">
        <v>132</v>
      </c>
      <c r="F23" t="s">
        <v>397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33</v>
      </c>
      <c r="B24" t="s">
        <v>83</v>
      </c>
      <c r="C24">
        <v>2</v>
      </c>
      <c r="D24" t="s">
        <v>69</v>
      </c>
      <c r="E24" t="s">
        <v>164</v>
      </c>
      <c r="F24" t="s">
        <v>429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33</v>
      </c>
      <c r="B25" t="s">
        <v>199</v>
      </c>
      <c r="C25">
        <v>1</v>
      </c>
      <c r="D25" t="s">
        <v>196</v>
      </c>
      <c r="E25" t="s">
        <v>197</v>
      </c>
      <c r="F25" t="s">
        <v>398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33</v>
      </c>
      <c r="B26" t="s">
        <v>64</v>
      </c>
      <c r="C26">
        <v>1</v>
      </c>
      <c r="D26" t="s">
        <v>168</v>
      </c>
      <c r="E26" t="s">
        <v>132</v>
      </c>
      <c r="F26" t="s">
        <v>399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33</v>
      </c>
      <c r="B27" t="s">
        <v>70</v>
      </c>
      <c r="C27">
        <v>3</v>
      </c>
      <c r="D27" t="s">
        <v>66</v>
      </c>
      <c r="E27" t="s">
        <v>138</v>
      </c>
      <c r="F27" t="s">
        <v>480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36</v>
      </c>
      <c r="B28" t="s">
        <v>36</v>
      </c>
      <c r="C28" t="s">
        <v>13</v>
      </c>
      <c r="D28" t="s">
        <v>23</v>
      </c>
      <c r="E28" t="s">
        <v>163</v>
      </c>
      <c r="F28" t="s">
        <v>498</v>
      </c>
      <c r="K28">
        <v>1</v>
      </c>
      <c r="P28">
        <f t="shared" si="2"/>
        <v>0</v>
      </c>
    </row>
    <row r="29" spans="1:27" x14ac:dyDescent="0.3">
      <c r="A29" s="3" t="s">
        <v>36</v>
      </c>
      <c r="B29" t="s">
        <v>37</v>
      </c>
      <c r="C29">
        <v>3</v>
      </c>
      <c r="D29" t="s">
        <v>25</v>
      </c>
      <c r="E29" t="s">
        <v>164</v>
      </c>
      <c r="F29" t="s">
        <v>430</v>
      </c>
      <c r="G29" t="s">
        <v>13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36</v>
      </c>
      <c r="B30" t="s">
        <v>38</v>
      </c>
      <c r="C30">
        <v>3</v>
      </c>
      <c r="D30" t="s">
        <v>25</v>
      </c>
      <c r="E30" t="s">
        <v>132</v>
      </c>
      <c r="F30" t="s">
        <v>336</v>
      </c>
      <c r="G30" t="s">
        <v>13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36</v>
      </c>
      <c r="B31" t="s">
        <v>214</v>
      </c>
      <c r="C31">
        <v>2</v>
      </c>
      <c r="D31" t="s">
        <v>215</v>
      </c>
      <c r="E31" t="s">
        <v>216</v>
      </c>
      <c r="F31" t="s">
        <v>448</v>
      </c>
      <c r="G31" t="s">
        <v>205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39</v>
      </c>
      <c r="B32" t="s">
        <v>158</v>
      </c>
      <c r="C32" t="s">
        <v>13</v>
      </c>
      <c r="D32" t="s">
        <v>23</v>
      </c>
      <c r="E32" t="s">
        <v>163</v>
      </c>
      <c r="F32" t="s">
        <v>499</v>
      </c>
      <c r="I32">
        <v>1</v>
      </c>
      <c r="P32">
        <f t="shared" si="2"/>
        <v>0</v>
      </c>
    </row>
    <row r="33" spans="1:31" x14ac:dyDescent="0.3">
      <c r="A33" s="3" t="s">
        <v>39</v>
      </c>
      <c r="B33" t="s">
        <v>40</v>
      </c>
      <c r="C33">
        <v>3</v>
      </c>
      <c r="D33" t="s">
        <v>25</v>
      </c>
      <c r="E33" t="s">
        <v>130</v>
      </c>
      <c r="F33" t="s">
        <v>441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39</v>
      </c>
      <c r="B34" t="s">
        <v>41</v>
      </c>
      <c r="C34">
        <v>2</v>
      </c>
      <c r="D34" t="s">
        <v>25</v>
      </c>
      <c r="E34" t="s">
        <v>164</v>
      </c>
      <c r="F34" t="s">
        <v>450</v>
      </c>
      <c r="G34" t="s">
        <v>13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39</v>
      </c>
      <c r="B35" t="s">
        <v>42</v>
      </c>
      <c r="C35">
        <v>0</v>
      </c>
      <c r="D35" t="s">
        <v>43</v>
      </c>
      <c r="E35" t="s">
        <v>140</v>
      </c>
      <c r="F35" t="s">
        <v>334</v>
      </c>
      <c r="G35" t="s">
        <v>13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44</v>
      </c>
      <c r="B36" t="s">
        <v>76</v>
      </c>
      <c r="C36" t="s">
        <v>13</v>
      </c>
      <c r="D36" t="s">
        <v>23</v>
      </c>
      <c r="E36" t="s">
        <v>163</v>
      </c>
      <c r="F36" t="s">
        <v>500</v>
      </c>
      <c r="L36">
        <v>1</v>
      </c>
      <c r="P36">
        <f t="shared" si="2"/>
        <v>0</v>
      </c>
    </row>
    <row r="37" spans="1:31" x14ac:dyDescent="0.3">
      <c r="A37" s="3" t="s">
        <v>44</v>
      </c>
      <c r="B37" t="s">
        <v>77</v>
      </c>
      <c r="C37">
        <v>1</v>
      </c>
      <c r="D37" t="s">
        <v>69</v>
      </c>
      <c r="E37" t="s">
        <v>131</v>
      </c>
      <c r="F37" t="s">
        <v>451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44</v>
      </c>
      <c r="B38" t="s">
        <v>149</v>
      </c>
      <c r="C38">
        <v>2</v>
      </c>
      <c r="D38" t="s">
        <v>12</v>
      </c>
      <c r="E38" t="s">
        <v>133</v>
      </c>
      <c r="F38" t="s">
        <v>497</v>
      </c>
      <c r="G38" t="s">
        <v>400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44</v>
      </c>
      <c r="B39" t="s">
        <v>207</v>
      </c>
      <c r="C39">
        <v>0</v>
      </c>
      <c r="D39" t="s">
        <v>208</v>
      </c>
      <c r="E39" t="s">
        <v>209</v>
      </c>
      <c r="F39" t="s">
        <v>314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45</v>
      </c>
      <c r="B40" t="s">
        <v>45</v>
      </c>
      <c r="C40" t="s">
        <v>13</v>
      </c>
      <c r="D40" t="s">
        <v>23</v>
      </c>
      <c r="E40" t="s">
        <v>163</v>
      </c>
      <c r="F40" t="s">
        <v>501</v>
      </c>
      <c r="I40">
        <v>1</v>
      </c>
      <c r="P40">
        <f t="shared" si="3"/>
        <v>0</v>
      </c>
    </row>
    <row r="41" spans="1:31" x14ac:dyDescent="0.3">
      <c r="A41" s="3" t="s">
        <v>45</v>
      </c>
      <c r="B41" t="s">
        <v>46</v>
      </c>
      <c r="C41">
        <v>1</v>
      </c>
      <c r="D41" t="s">
        <v>43</v>
      </c>
      <c r="E41" t="s">
        <v>139</v>
      </c>
      <c r="F41" t="s">
        <v>288</v>
      </c>
      <c r="G41" t="s">
        <v>13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45</v>
      </c>
      <c r="B42" t="s">
        <v>47</v>
      </c>
      <c r="C42">
        <v>3</v>
      </c>
      <c r="D42" t="s">
        <v>12</v>
      </c>
      <c r="E42" t="s">
        <v>133</v>
      </c>
      <c r="F42" t="s">
        <v>443</v>
      </c>
      <c r="G42" t="s">
        <v>396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45</v>
      </c>
      <c r="B43" t="s">
        <v>145</v>
      </c>
      <c r="C43">
        <v>2</v>
      </c>
      <c r="D43" t="s">
        <v>69</v>
      </c>
      <c r="E43" t="s">
        <v>130</v>
      </c>
      <c r="F43" t="s">
        <v>289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48</v>
      </c>
      <c r="B44" t="s">
        <v>159</v>
      </c>
      <c r="C44" t="s">
        <v>13</v>
      </c>
      <c r="D44" t="s">
        <v>23</v>
      </c>
      <c r="E44" t="s">
        <v>163</v>
      </c>
      <c r="F44" t="s">
        <v>502</v>
      </c>
      <c r="K44">
        <v>1</v>
      </c>
      <c r="P44">
        <f t="shared" si="3"/>
        <v>0</v>
      </c>
    </row>
    <row r="45" spans="1:31" x14ac:dyDescent="0.3">
      <c r="A45" s="3" t="s">
        <v>48</v>
      </c>
      <c r="B45" t="s">
        <v>49</v>
      </c>
      <c r="C45">
        <v>0</v>
      </c>
      <c r="D45" t="s">
        <v>43</v>
      </c>
      <c r="E45" t="s">
        <v>140</v>
      </c>
      <c r="F45" t="s">
        <v>335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48</v>
      </c>
      <c r="B46" t="s">
        <v>50</v>
      </c>
      <c r="C46">
        <v>2</v>
      </c>
      <c r="D46" t="s">
        <v>25</v>
      </c>
      <c r="E46" t="s">
        <v>130</v>
      </c>
      <c r="F46" t="s">
        <v>452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48</v>
      </c>
      <c r="B47" t="s">
        <v>129</v>
      </c>
      <c r="C47">
        <v>1</v>
      </c>
      <c r="D47" t="s">
        <v>66</v>
      </c>
      <c r="E47" t="s">
        <v>165</v>
      </c>
      <c r="F47" t="s">
        <v>453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51</v>
      </c>
      <c r="B48" t="s">
        <v>51</v>
      </c>
      <c r="C48" t="s">
        <v>13</v>
      </c>
      <c r="D48" t="s">
        <v>23</v>
      </c>
      <c r="E48" t="s">
        <v>163</v>
      </c>
      <c r="F48" t="s">
        <v>503</v>
      </c>
      <c r="J48">
        <v>1</v>
      </c>
      <c r="P48">
        <f t="shared" si="3"/>
        <v>0</v>
      </c>
    </row>
    <row r="49" spans="1:35" x14ac:dyDescent="0.3">
      <c r="A49" s="3" t="s">
        <v>51</v>
      </c>
      <c r="B49" t="s">
        <v>52</v>
      </c>
      <c r="C49">
        <v>3</v>
      </c>
      <c r="D49" t="s">
        <v>25</v>
      </c>
      <c r="E49" t="s">
        <v>130</v>
      </c>
      <c r="F49" t="s">
        <v>401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51</v>
      </c>
      <c r="B50" t="s">
        <v>53</v>
      </c>
      <c r="C50">
        <v>2</v>
      </c>
      <c r="D50" t="s">
        <v>25</v>
      </c>
      <c r="E50" t="s">
        <v>131</v>
      </c>
      <c r="F50" t="s">
        <v>321</v>
      </c>
      <c r="G50" t="s">
        <v>13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51</v>
      </c>
      <c r="B51" t="s">
        <v>54</v>
      </c>
      <c r="C51">
        <v>2</v>
      </c>
      <c r="D51" t="s">
        <v>12</v>
      </c>
      <c r="E51" t="s">
        <v>133</v>
      </c>
      <c r="F51" t="s">
        <v>456</v>
      </c>
      <c r="G51" t="s">
        <v>389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55</v>
      </c>
      <c r="B52" t="s">
        <v>55</v>
      </c>
      <c r="C52" t="s">
        <v>13</v>
      </c>
      <c r="D52" t="s">
        <v>23</v>
      </c>
      <c r="E52" t="s">
        <v>163</v>
      </c>
      <c r="F52" t="s">
        <v>504</v>
      </c>
      <c r="J52">
        <v>1</v>
      </c>
      <c r="P52">
        <f t="shared" si="3"/>
        <v>0</v>
      </c>
    </row>
    <row r="53" spans="1:35" x14ac:dyDescent="0.3">
      <c r="A53" s="3" t="s">
        <v>55</v>
      </c>
      <c r="B53" t="s">
        <v>56</v>
      </c>
      <c r="C53">
        <v>2</v>
      </c>
      <c r="D53" t="s">
        <v>176</v>
      </c>
      <c r="E53" t="s">
        <v>138</v>
      </c>
      <c r="F53" t="s">
        <v>455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55</v>
      </c>
      <c r="B54" t="s">
        <v>57</v>
      </c>
      <c r="C54">
        <v>1</v>
      </c>
      <c r="D54" t="s">
        <v>25</v>
      </c>
      <c r="E54" t="s">
        <v>132</v>
      </c>
      <c r="F54" t="s">
        <v>291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55</v>
      </c>
      <c r="B55" t="s">
        <v>65</v>
      </c>
      <c r="C55">
        <v>3</v>
      </c>
      <c r="D55" t="s">
        <v>66</v>
      </c>
      <c r="E55" t="s">
        <v>138</v>
      </c>
      <c r="F55" t="s">
        <v>67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332</v>
      </c>
      <c r="B56" t="s">
        <v>332</v>
      </c>
      <c r="C56" t="s">
        <v>13</v>
      </c>
      <c r="D56" t="s">
        <v>23</v>
      </c>
      <c r="E56" t="s">
        <v>163</v>
      </c>
      <c r="F56" t="s">
        <v>505</v>
      </c>
      <c r="L56">
        <v>1</v>
      </c>
      <c r="P56">
        <f t="shared" si="3"/>
        <v>0</v>
      </c>
    </row>
    <row r="57" spans="1:35" x14ac:dyDescent="0.3">
      <c r="A57" s="3" t="s">
        <v>332</v>
      </c>
      <c r="B57" t="s">
        <v>96</v>
      </c>
      <c r="C57">
        <v>1</v>
      </c>
      <c r="D57" t="s">
        <v>66</v>
      </c>
      <c r="E57" t="s">
        <v>143</v>
      </c>
      <c r="F57" t="s">
        <v>97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332</v>
      </c>
      <c r="B58" t="s">
        <v>100</v>
      </c>
      <c r="C58">
        <v>2</v>
      </c>
      <c r="D58" t="s">
        <v>81</v>
      </c>
      <c r="E58" t="s">
        <v>133</v>
      </c>
      <c r="F58" t="s">
        <v>315</v>
      </c>
      <c r="G58" t="s">
        <v>356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332</v>
      </c>
      <c r="B59" t="s">
        <v>98</v>
      </c>
      <c r="C59">
        <v>1</v>
      </c>
      <c r="D59" t="s">
        <v>69</v>
      </c>
      <c r="E59" t="s">
        <v>130</v>
      </c>
      <c r="F59" t="s">
        <v>402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330</v>
      </c>
      <c r="B60" t="s">
        <v>327</v>
      </c>
      <c r="C60">
        <v>0</v>
      </c>
      <c r="D60" t="s">
        <v>43</v>
      </c>
      <c r="E60" t="s">
        <v>141</v>
      </c>
      <c r="F60" t="s">
        <v>435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330</v>
      </c>
      <c r="B61" t="s">
        <v>58</v>
      </c>
      <c r="C61">
        <v>0</v>
      </c>
      <c r="D61" t="s">
        <v>43</v>
      </c>
      <c r="E61" t="s">
        <v>141</v>
      </c>
      <c r="F61" t="s">
        <v>333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330</v>
      </c>
      <c r="B62" t="s">
        <v>59</v>
      </c>
      <c r="C62">
        <v>0</v>
      </c>
      <c r="D62" t="s">
        <v>43</v>
      </c>
      <c r="E62" t="s">
        <v>141</v>
      </c>
      <c r="F62" t="s">
        <v>213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330</v>
      </c>
      <c r="B63" t="s">
        <v>354</v>
      </c>
      <c r="C63">
        <v>0</v>
      </c>
      <c r="D63" t="s">
        <v>66</v>
      </c>
      <c r="E63" t="s">
        <v>141</v>
      </c>
      <c r="F63" t="s">
        <v>478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330</v>
      </c>
      <c r="B64" t="s">
        <v>347</v>
      </c>
      <c r="C64">
        <v>0</v>
      </c>
      <c r="D64" t="s">
        <v>211</v>
      </c>
      <c r="E64" t="s">
        <v>212</v>
      </c>
      <c r="F64" t="s">
        <v>436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330</v>
      </c>
      <c r="B65" t="s">
        <v>355</v>
      </c>
      <c r="C65">
        <v>0</v>
      </c>
      <c r="D65" t="s">
        <v>352</v>
      </c>
      <c r="E65" t="s">
        <v>353</v>
      </c>
      <c r="F65" t="s">
        <v>485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330</v>
      </c>
      <c r="B66" t="s">
        <v>60</v>
      </c>
      <c r="C66">
        <v>1</v>
      </c>
      <c r="D66" t="s">
        <v>43</v>
      </c>
      <c r="E66" t="s">
        <v>139</v>
      </c>
      <c r="F66" t="s">
        <v>285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330</v>
      </c>
      <c r="B67" t="s">
        <v>85</v>
      </c>
      <c r="C67">
        <v>3</v>
      </c>
      <c r="D67" t="s">
        <v>66</v>
      </c>
      <c r="E67" t="s">
        <v>139</v>
      </c>
      <c r="F67" t="s">
        <v>309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330</v>
      </c>
      <c r="B68" t="s">
        <v>86</v>
      </c>
      <c r="C68">
        <v>3</v>
      </c>
      <c r="D68" t="s">
        <v>66</v>
      </c>
      <c r="E68" t="s">
        <v>139</v>
      </c>
      <c r="F68" t="s">
        <v>310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330</v>
      </c>
      <c r="B69" t="s">
        <v>102</v>
      </c>
      <c r="C69">
        <v>1</v>
      </c>
      <c r="D69" t="s">
        <v>66</v>
      </c>
      <c r="E69" t="s">
        <v>139</v>
      </c>
      <c r="F69" t="s">
        <v>454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330</v>
      </c>
      <c r="B70" t="s">
        <v>267</v>
      </c>
      <c r="C70">
        <v>2</v>
      </c>
      <c r="D70" t="s">
        <v>262</v>
      </c>
      <c r="E70" t="s">
        <v>268</v>
      </c>
      <c r="F70" t="s">
        <v>345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330</v>
      </c>
      <c r="B71" t="s">
        <v>269</v>
      </c>
      <c r="C71">
        <v>3</v>
      </c>
      <c r="D71" t="s">
        <v>262</v>
      </c>
      <c r="E71" t="s">
        <v>268</v>
      </c>
      <c r="F71" t="s">
        <v>422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330</v>
      </c>
      <c r="B72" t="s">
        <v>270</v>
      </c>
      <c r="C72">
        <v>2</v>
      </c>
      <c r="D72" t="s">
        <v>262</v>
      </c>
      <c r="E72" t="s">
        <v>268</v>
      </c>
      <c r="F72" t="s">
        <v>284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330</v>
      </c>
      <c r="B73" t="s">
        <v>275</v>
      </c>
      <c r="C73">
        <v>2</v>
      </c>
      <c r="D73" t="s">
        <v>262</v>
      </c>
      <c r="E73" t="s">
        <v>268</v>
      </c>
      <c r="F73" t="s">
        <v>346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330</v>
      </c>
      <c r="B74" t="s">
        <v>71</v>
      </c>
      <c r="C74">
        <v>1</v>
      </c>
      <c r="D74" t="s">
        <v>69</v>
      </c>
      <c r="E74" t="s">
        <v>130</v>
      </c>
      <c r="F74" t="s">
        <v>99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330</v>
      </c>
      <c r="B75" t="s">
        <v>144</v>
      </c>
      <c r="C75">
        <v>2</v>
      </c>
      <c r="D75" t="s">
        <v>69</v>
      </c>
      <c r="E75" t="s">
        <v>130</v>
      </c>
      <c r="F75" t="s">
        <v>283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330</v>
      </c>
      <c r="B76" t="s">
        <v>146</v>
      </c>
      <c r="C76">
        <v>3</v>
      </c>
      <c r="D76" t="s">
        <v>69</v>
      </c>
      <c r="E76" t="s">
        <v>130</v>
      </c>
      <c r="F76" t="s">
        <v>323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330</v>
      </c>
      <c r="B77" t="s">
        <v>72</v>
      </c>
      <c r="C77">
        <v>3</v>
      </c>
      <c r="D77" t="s">
        <v>66</v>
      </c>
      <c r="E77" t="s">
        <v>136</v>
      </c>
      <c r="F77" t="s">
        <v>348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330</v>
      </c>
      <c r="B78" t="s">
        <v>73</v>
      </c>
      <c r="C78">
        <v>3</v>
      </c>
      <c r="D78" t="s">
        <v>66</v>
      </c>
      <c r="E78" t="s">
        <v>136</v>
      </c>
      <c r="F78" t="s">
        <v>349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330</v>
      </c>
      <c r="B79" t="s">
        <v>74</v>
      </c>
      <c r="C79">
        <v>1</v>
      </c>
      <c r="D79" t="s">
        <v>66</v>
      </c>
      <c r="E79" t="s">
        <v>136</v>
      </c>
      <c r="F79" t="s">
        <v>459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330</v>
      </c>
      <c r="B80" t="s">
        <v>84</v>
      </c>
      <c r="C80">
        <v>3</v>
      </c>
      <c r="D80" t="s">
        <v>66</v>
      </c>
      <c r="E80" t="s">
        <v>136</v>
      </c>
      <c r="F80" t="s">
        <v>431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330</v>
      </c>
      <c r="B81" t="s">
        <v>92</v>
      </c>
      <c r="C81">
        <v>0</v>
      </c>
      <c r="D81" t="s">
        <v>66</v>
      </c>
      <c r="E81" t="s">
        <v>136</v>
      </c>
      <c r="F81" t="s">
        <v>93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330</v>
      </c>
      <c r="B82" t="s">
        <v>177</v>
      </c>
      <c r="C82">
        <v>1</v>
      </c>
      <c r="D82" t="s">
        <v>176</v>
      </c>
      <c r="E82" t="s">
        <v>178</v>
      </c>
      <c r="F82" t="s">
        <v>292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330</v>
      </c>
      <c r="B83" t="s">
        <v>241</v>
      </c>
      <c r="C83">
        <v>2</v>
      </c>
      <c r="D83" t="s">
        <v>235</v>
      </c>
      <c r="E83" t="s">
        <v>236</v>
      </c>
      <c r="F83" t="s">
        <v>348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330</v>
      </c>
      <c r="B84" t="s">
        <v>237</v>
      </c>
      <c r="C84">
        <v>2</v>
      </c>
      <c r="D84" t="s">
        <v>235</v>
      </c>
      <c r="E84" t="s">
        <v>236</v>
      </c>
      <c r="F84" t="s">
        <v>350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330</v>
      </c>
      <c r="B85" t="s">
        <v>238</v>
      </c>
      <c r="C85">
        <v>3</v>
      </c>
      <c r="D85" t="s">
        <v>235</v>
      </c>
      <c r="E85" t="s">
        <v>236</v>
      </c>
      <c r="F85" t="s">
        <v>432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330</v>
      </c>
      <c r="B86" t="s">
        <v>239</v>
      </c>
      <c r="C86">
        <v>2</v>
      </c>
      <c r="D86" t="s">
        <v>235</v>
      </c>
      <c r="E86" t="s">
        <v>236</v>
      </c>
      <c r="F86" t="s">
        <v>351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330</v>
      </c>
      <c r="B87" t="s">
        <v>223</v>
      </c>
      <c r="C87">
        <v>1</v>
      </c>
      <c r="D87" t="s">
        <v>219</v>
      </c>
      <c r="E87" t="s">
        <v>224</v>
      </c>
      <c r="F87" t="s">
        <v>404</v>
      </c>
      <c r="G87" t="s">
        <v>82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330</v>
      </c>
      <c r="B88" t="s">
        <v>225</v>
      </c>
      <c r="C88">
        <v>3</v>
      </c>
      <c r="D88" t="s">
        <v>81</v>
      </c>
      <c r="E88" t="s">
        <v>134</v>
      </c>
      <c r="F88" t="s">
        <v>458</v>
      </c>
      <c r="G88" t="s">
        <v>374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330</v>
      </c>
      <c r="B89" t="s">
        <v>128</v>
      </c>
      <c r="C89">
        <v>1</v>
      </c>
      <c r="D89" t="s">
        <v>81</v>
      </c>
      <c r="E89" t="s">
        <v>134</v>
      </c>
      <c r="F89" t="s">
        <v>405</v>
      </c>
      <c r="G89" t="s">
        <v>82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330</v>
      </c>
      <c r="B90" t="s">
        <v>153</v>
      </c>
      <c r="C90">
        <v>3</v>
      </c>
      <c r="D90" t="s">
        <v>12</v>
      </c>
      <c r="E90" t="s">
        <v>134</v>
      </c>
      <c r="F90" t="s">
        <v>406</v>
      </c>
      <c r="G90" t="s">
        <v>374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330</v>
      </c>
      <c r="B91" t="s">
        <v>154</v>
      </c>
      <c r="C91">
        <v>3</v>
      </c>
      <c r="D91" t="s">
        <v>12</v>
      </c>
      <c r="E91" t="s">
        <v>134</v>
      </c>
      <c r="F91" t="s">
        <v>357</v>
      </c>
      <c r="G91" t="s">
        <v>407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330</v>
      </c>
      <c r="B92" t="s">
        <v>316</v>
      </c>
      <c r="C92">
        <v>1</v>
      </c>
      <c r="D92" t="s">
        <v>215</v>
      </c>
      <c r="E92" t="s">
        <v>217</v>
      </c>
      <c r="F92" t="s">
        <v>460</v>
      </c>
      <c r="G92" t="s">
        <v>61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330</v>
      </c>
      <c r="B93" t="s">
        <v>226</v>
      </c>
      <c r="C93">
        <v>3</v>
      </c>
      <c r="D93" t="s">
        <v>219</v>
      </c>
      <c r="E93" t="s">
        <v>224</v>
      </c>
      <c r="F93" t="s">
        <v>428</v>
      </c>
      <c r="G93" t="s">
        <v>407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330</v>
      </c>
      <c r="B94" t="s">
        <v>228</v>
      </c>
      <c r="C94">
        <v>2</v>
      </c>
      <c r="D94" t="s">
        <v>219</v>
      </c>
      <c r="E94" t="s">
        <v>224</v>
      </c>
      <c r="F94" t="s">
        <v>477</v>
      </c>
      <c r="G94" t="s">
        <v>229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330</v>
      </c>
      <c r="B95" t="s">
        <v>88</v>
      </c>
      <c r="C95">
        <v>0</v>
      </c>
      <c r="D95" t="s">
        <v>66</v>
      </c>
      <c r="E95" t="s">
        <v>165</v>
      </c>
      <c r="F95" t="s">
        <v>358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330</v>
      </c>
      <c r="B96" t="s">
        <v>89</v>
      </c>
      <c r="C96">
        <v>0</v>
      </c>
      <c r="D96" t="s">
        <v>66</v>
      </c>
      <c r="E96" t="s">
        <v>165</v>
      </c>
      <c r="F96" t="s">
        <v>461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330</v>
      </c>
      <c r="B97" t="s">
        <v>91</v>
      </c>
      <c r="C97">
        <v>2</v>
      </c>
      <c r="D97" t="s">
        <v>66</v>
      </c>
      <c r="E97" t="s">
        <v>165</v>
      </c>
      <c r="F97" t="s">
        <v>462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330</v>
      </c>
      <c r="B98" t="s">
        <v>101</v>
      </c>
      <c r="C98">
        <v>0</v>
      </c>
      <c r="D98" t="s">
        <v>66</v>
      </c>
      <c r="E98" t="s">
        <v>165</v>
      </c>
      <c r="F98" t="s">
        <v>463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330</v>
      </c>
      <c r="B99" t="s">
        <v>307</v>
      </c>
      <c r="C99">
        <v>0</v>
      </c>
      <c r="D99" t="s">
        <v>308</v>
      </c>
      <c r="E99" t="s">
        <v>306</v>
      </c>
      <c r="F99" t="s">
        <v>464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330</v>
      </c>
      <c r="B100" t="s">
        <v>363</v>
      </c>
      <c r="C100">
        <v>0</v>
      </c>
      <c r="D100" t="s">
        <v>276</v>
      </c>
      <c r="E100" t="s">
        <v>280</v>
      </c>
      <c r="F100" t="s">
        <v>364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330</v>
      </c>
      <c r="B101" t="s">
        <v>361</v>
      </c>
      <c r="C101">
        <v>0</v>
      </c>
      <c r="D101" t="s">
        <v>352</v>
      </c>
      <c r="E101" t="s">
        <v>362</v>
      </c>
      <c r="F101" t="s">
        <v>472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330</v>
      </c>
      <c r="B102" t="s">
        <v>264</v>
      </c>
      <c r="C102">
        <v>0</v>
      </c>
      <c r="D102" t="s">
        <v>262</v>
      </c>
      <c r="E102" t="s">
        <v>263</v>
      </c>
      <c r="F102" t="s">
        <v>409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330</v>
      </c>
      <c r="B103" t="s">
        <v>265</v>
      </c>
      <c r="C103">
        <v>0</v>
      </c>
      <c r="D103" t="s">
        <v>262</v>
      </c>
      <c r="E103" t="s">
        <v>263</v>
      </c>
      <c r="F103" t="s">
        <v>266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330</v>
      </c>
      <c r="B104" t="s">
        <v>95</v>
      </c>
      <c r="C104">
        <v>0</v>
      </c>
      <c r="D104" t="s">
        <v>66</v>
      </c>
      <c r="E104" t="s">
        <v>140</v>
      </c>
      <c r="F104" t="s">
        <v>359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330</v>
      </c>
      <c r="B105" t="s">
        <v>155</v>
      </c>
      <c r="C105">
        <v>0</v>
      </c>
      <c r="D105" t="s">
        <v>43</v>
      </c>
      <c r="E105" t="s">
        <v>140</v>
      </c>
      <c r="F105" t="s">
        <v>360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330</v>
      </c>
      <c r="B106" t="s">
        <v>156</v>
      </c>
      <c r="C106">
        <v>1</v>
      </c>
      <c r="D106" t="s">
        <v>365</v>
      </c>
      <c r="E106" t="s">
        <v>132</v>
      </c>
      <c r="F106" t="s">
        <v>410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330</v>
      </c>
      <c r="B107" t="s">
        <v>147</v>
      </c>
      <c r="C107">
        <v>2</v>
      </c>
      <c r="D107" t="s">
        <v>66</v>
      </c>
      <c r="E107" t="s">
        <v>137</v>
      </c>
      <c r="F107" t="s">
        <v>372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330</v>
      </c>
      <c r="B108" t="s">
        <v>148</v>
      </c>
      <c r="C108">
        <v>2</v>
      </c>
      <c r="D108" t="s">
        <v>66</v>
      </c>
      <c r="E108" t="s">
        <v>137</v>
      </c>
      <c r="F108" t="s">
        <v>408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330</v>
      </c>
      <c r="B109" t="s">
        <v>245</v>
      </c>
      <c r="C109">
        <v>2</v>
      </c>
      <c r="D109" t="s">
        <v>235</v>
      </c>
      <c r="E109" t="s">
        <v>244</v>
      </c>
      <c r="F109" t="s">
        <v>366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330</v>
      </c>
      <c r="B110" t="s">
        <v>246</v>
      </c>
      <c r="C110">
        <v>3</v>
      </c>
      <c r="D110" t="s">
        <v>235</v>
      </c>
      <c r="E110" t="s">
        <v>244</v>
      </c>
      <c r="F110" t="s">
        <v>367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330</v>
      </c>
      <c r="B111" t="s">
        <v>243</v>
      </c>
      <c r="C111">
        <v>0</v>
      </c>
      <c r="D111" t="s">
        <v>176</v>
      </c>
      <c r="E111" t="s">
        <v>174</v>
      </c>
      <c r="F111" t="s">
        <v>411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330</v>
      </c>
      <c r="B112" t="s">
        <v>167</v>
      </c>
      <c r="C112">
        <v>0</v>
      </c>
      <c r="D112" t="s">
        <v>168</v>
      </c>
      <c r="E112" t="s">
        <v>169</v>
      </c>
      <c r="F112" t="s">
        <v>287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330</v>
      </c>
      <c r="B113" t="s">
        <v>296</v>
      </c>
      <c r="C113">
        <v>0</v>
      </c>
      <c r="D113" t="s">
        <v>168</v>
      </c>
      <c r="E113" t="s">
        <v>169</v>
      </c>
      <c r="F113" t="s">
        <v>287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330</v>
      </c>
      <c r="B114" t="s">
        <v>172</v>
      </c>
      <c r="C114">
        <v>0</v>
      </c>
      <c r="D114" t="s">
        <v>168</v>
      </c>
      <c r="E114" t="s">
        <v>169</v>
      </c>
      <c r="F114" t="s">
        <v>479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330</v>
      </c>
      <c r="B115" t="s">
        <v>173</v>
      </c>
      <c r="C115">
        <v>0</v>
      </c>
      <c r="D115" t="s">
        <v>168</v>
      </c>
      <c r="E115" t="s">
        <v>169</v>
      </c>
      <c r="F115" t="s">
        <v>465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330</v>
      </c>
      <c r="B116" t="s">
        <v>249</v>
      </c>
      <c r="C116">
        <v>1</v>
      </c>
      <c r="D116" t="s">
        <v>168</v>
      </c>
      <c r="E116" t="s">
        <v>175</v>
      </c>
      <c r="F116" t="s">
        <v>368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330</v>
      </c>
      <c r="B117" t="s">
        <v>179</v>
      </c>
      <c r="C117">
        <v>1</v>
      </c>
      <c r="D117" t="s">
        <v>168</v>
      </c>
      <c r="E117" t="s">
        <v>175</v>
      </c>
      <c r="F117" t="s">
        <v>371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330</v>
      </c>
      <c r="B118" t="s">
        <v>248</v>
      </c>
      <c r="C118">
        <v>0</v>
      </c>
      <c r="D118" t="s">
        <v>168</v>
      </c>
      <c r="E118" t="s">
        <v>132</v>
      </c>
      <c r="F118" t="s">
        <v>370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330</v>
      </c>
      <c r="B119" t="s">
        <v>198</v>
      </c>
      <c r="C119">
        <v>1</v>
      </c>
      <c r="D119" t="s">
        <v>196</v>
      </c>
      <c r="E119" t="s">
        <v>197</v>
      </c>
      <c r="F119" t="s">
        <v>466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330</v>
      </c>
      <c r="B120" t="s">
        <v>201</v>
      </c>
      <c r="C120">
        <v>1</v>
      </c>
      <c r="D120" t="s">
        <v>202</v>
      </c>
      <c r="E120" t="s">
        <v>203</v>
      </c>
      <c r="F120" t="s">
        <v>317</v>
      </c>
      <c r="G120" t="s">
        <v>61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330</v>
      </c>
      <c r="B121" t="s">
        <v>204</v>
      </c>
      <c r="C121">
        <v>1</v>
      </c>
      <c r="D121" t="s">
        <v>202</v>
      </c>
      <c r="E121" t="s">
        <v>203</v>
      </c>
      <c r="F121" t="s">
        <v>433</v>
      </c>
      <c r="G121" t="s">
        <v>61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330</v>
      </c>
      <c r="B122" t="s">
        <v>375</v>
      </c>
      <c r="C122">
        <v>3</v>
      </c>
      <c r="D122" t="s">
        <v>12</v>
      </c>
      <c r="E122" t="s">
        <v>133</v>
      </c>
      <c r="F122" t="s">
        <v>373</v>
      </c>
      <c r="G122" t="s">
        <v>374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330</v>
      </c>
      <c r="B123" t="s">
        <v>206</v>
      </c>
      <c r="C123">
        <v>2</v>
      </c>
      <c r="D123" t="s">
        <v>202</v>
      </c>
      <c r="E123" t="s">
        <v>203</v>
      </c>
      <c r="F123" t="s">
        <v>467</v>
      </c>
      <c r="G123" t="s">
        <v>205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330</v>
      </c>
      <c r="B124" t="s">
        <v>412</v>
      </c>
      <c r="C124">
        <v>3</v>
      </c>
      <c r="D124" t="s">
        <v>12</v>
      </c>
      <c r="E124" t="s">
        <v>133</v>
      </c>
      <c r="F124" t="s">
        <v>419</v>
      </c>
      <c r="G124" t="s">
        <v>396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330</v>
      </c>
      <c r="B125" t="s">
        <v>218</v>
      </c>
      <c r="C125">
        <v>1</v>
      </c>
      <c r="D125" t="s">
        <v>219</v>
      </c>
      <c r="E125" t="s">
        <v>220</v>
      </c>
      <c r="F125" t="s">
        <v>468</v>
      </c>
      <c r="G125" t="s">
        <v>61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413</v>
      </c>
      <c r="B126" t="s">
        <v>87</v>
      </c>
      <c r="C126">
        <v>1</v>
      </c>
      <c r="D126" t="s">
        <v>81</v>
      </c>
      <c r="E126" t="s">
        <v>135</v>
      </c>
      <c r="F126" t="s">
        <v>449</v>
      </c>
      <c r="G126" t="s">
        <v>425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330</v>
      </c>
      <c r="B127" t="s">
        <v>320</v>
      </c>
      <c r="C127">
        <v>2</v>
      </c>
      <c r="D127" t="s">
        <v>219</v>
      </c>
      <c r="E127" t="s">
        <v>230</v>
      </c>
      <c r="F127" t="s">
        <v>414</v>
      </c>
      <c r="G127" t="s">
        <v>205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330</v>
      </c>
      <c r="B128" t="s">
        <v>231</v>
      </c>
      <c r="C128">
        <v>2</v>
      </c>
      <c r="D128" t="s">
        <v>219</v>
      </c>
      <c r="E128" t="s">
        <v>230</v>
      </c>
      <c r="F128" t="s">
        <v>415</v>
      </c>
      <c r="G128" t="s">
        <v>227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330</v>
      </c>
      <c r="B129" t="s">
        <v>418</v>
      </c>
      <c r="C129">
        <v>2</v>
      </c>
      <c r="D129" t="s">
        <v>391</v>
      </c>
      <c r="E129" t="s">
        <v>135</v>
      </c>
      <c r="F129" t="s">
        <v>470</v>
      </c>
      <c r="G129" t="s">
        <v>400</v>
      </c>
      <c r="H129">
        <v>-9</v>
      </c>
      <c r="L129">
        <v>1</v>
      </c>
      <c r="W129">
        <v>1</v>
      </c>
    </row>
    <row r="130" spans="1:34" x14ac:dyDescent="0.3">
      <c r="A130" s="3" t="s">
        <v>330</v>
      </c>
      <c r="B130" t="s">
        <v>412</v>
      </c>
      <c r="C130">
        <v>3</v>
      </c>
      <c r="D130" t="s">
        <v>12</v>
      </c>
      <c r="E130" t="s">
        <v>133</v>
      </c>
      <c r="F130" t="s">
        <v>419</v>
      </c>
      <c r="G130" t="s">
        <v>420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330</v>
      </c>
      <c r="B131" t="s">
        <v>234</v>
      </c>
      <c r="C131">
        <v>2</v>
      </c>
      <c r="D131" t="s">
        <v>219</v>
      </c>
      <c r="E131" t="s">
        <v>230</v>
      </c>
      <c r="F131" t="s">
        <v>416</v>
      </c>
      <c r="G131" t="s">
        <v>205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330</v>
      </c>
      <c r="B132" t="s">
        <v>80</v>
      </c>
      <c r="C132">
        <v>2</v>
      </c>
      <c r="D132" t="s">
        <v>81</v>
      </c>
      <c r="E132" t="s">
        <v>135</v>
      </c>
      <c r="F132" t="s">
        <v>417</v>
      </c>
      <c r="G132" t="s">
        <v>227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330</v>
      </c>
      <c r="B133" t="s">
        <v>157</v>
      </c>
      <c r="C133">
        <v>0</v>
      </c>
      <c r="D133" t="s">
        <v>43</v>
      </c>
      <c r="E133" t="s">
        <v>138</v>
      </c>
      <c r="F133" t="s">
        <v>295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330</v>
      </c>
      <c r="B134" t="s">
        <v>381</v>
      </c>
      <c r="C134">
        <v>3</v>
      </c>
      <c r="D134" t="s">
        <v>235</v>
      </c>
      <c r="E134" t="s">
        <v>240</v>
      </c>
      <c r="F134" t="s">
        <v>469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330</v>
      </c>
      <c r="B135" t="s">
        <v>242</v>
      </c>
      <c r="C135">
        <v>3</v>
      </c>
      <c r="D135" t="s">
        <v>235</v>
      </c>
      <c r="E135" t="s">
        <v>240</v>
      </c>
      <c r="F135" t="s">
        <v>469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330</v>
      </c>
      <c r="B136" t="s">
        <v>247</v>
      </c>
      <c r="C136">
        <v>0</v>
      </c>
      <c r="D136" t="s">
        <v>235</v>
      </c>
      <c r="E136" t="s">
        <v>240</v>
      </c>
      <c r="F136" t="s">
        <v>482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330</v>
      </c>
      <c r="B137" t="s">
        <v>250</v>
      </c>
      <c r="C137">
        <v>0</v>
      </c>
      <c r="D137" t="s">
        <v>235</v>
      </c>
      <c r="E137" t="s">
        <v>240</v>
      </c>
      <c r="F137" t="s">
        <v>377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330</v>
      </c>
      <c r="B138" t="s">
        <v>251</v>
      </c>
      <c r="C138">
        <v>0</v>
      </c>
      <c r="D138" t="s">
        <v>235</v>
      </c>
      <c r="E138" t="s">
        <v>240</v>
      </c>
      <c r="F138" t="s">
        <v>483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330</v>
      </c>
      <c r="B139" t="s">
        <v>252</v>
      </c>
      <c r="C139">
        <v>0</v>
      </c>
      <c r="D139" t="s">
        <v>235</v>
      </c>
      <c r="E139" t="s">
        <v>240</v>
      </c>
      <c r="F139" t="s">
        <v>253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330</v>
      </c>
      <c r="B140" t="s">
        <v>254</v>
      </c>
      <c r="C140">
        <v>1</v>
      </c>
      <c r="D140" t="s">
        <v>235</v>
      </c>
      <c r="E140" t="s">
        <v>240</v>
      </c>
      <c r="F140" t="s">
        <v>255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330</v>
      </c>
      <c r="B141" t="s">
        <v>256</v>
      </c>
      <c r="C141">
        <v>0</v>
      </c>
      <c r="D141" t="s">
        <v>235</v>
      </c>
      <c r="E141" t="s">
        <v>240</v>
      </c>
      <c r="F141" t="s">
        <v>484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330</v>
      </c>
      <c r="B142" t="s">
        <v>257</v>
      </c>
      <c r="C142">
        <v>1</v>
      </c>
      <c r="D142" t="s">
        <v>235</v>
      </c>
      <c r="E142" t="s">
        <v>240</v>
      </c>
      <c r="F142" t="s">
        <v>380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330</v>
      </c>
      <c r="B143" t="s">
        <v>258</v>
      </c>
      <c r="C143">
        <v>0</v>
      </c>
      <c r="D143" t="s">
        <v>235</v>
      </c>
      <c r="E143" t="s">
        <v>240</v>
      </c>
      <c r="F143" t="s">
        <v>312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330</v>
      </c>
      <c r="B144" t="s">
        <v>271</v>
      </c>
      <c r="C144">
        <v>0</v>
      </c>
      <c r="D144" t="s">
        <v>262</v>
      </c>
      <c r="E144" t="s">
        <v>272</v>
      </c>
      <c r="F144" t="s">
        <v>311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330</v>
      </c>
      <c r="B145" t="s">
        <v>261</v>
      </c>
      <c r="C145">
        <v>2</v>
      </c>
      <c r="D145" t="s">
        <v>262</v>
      </c>
      <c r="E145" t="s">
        <v>272</v>
      </c>
      <c r="F145" t="s">
        <v>376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330</v>
      </c>
      <c r="B146" t="s">
        <v>273</v>
      </c>
      <c r="C146">
        <v>0</v>
      </c>
      <c r="D146" t="s">
        <v>262</v>
      </c>
      <c r="E146" t="s">
        <v>272</v>
      </c>
      <c r="F146" t="s">
        <v>457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330</v>
      </c>
      <c r="B147" t="s">
        <v>274</v>
      </c>
      <c r="C147">
        <v>0</v>
      </c>
      <c r="D147" t="s">
        <v>262</v>
      </c>
      <c r="E147" t="s">
        <v>272</v>
      </c>
      <c r="F147" t="s">
        <v>427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331</v>
      </c>
      <c r="B148" t="s">
        <v>278</v>
      </c>
      <c r="C148">
        <v>0</v>
      </c>
      <c r="D148" t="s">
        <v>276</v>
      </c>
      <c r="E148" t="s">
        <v>277</v>
      </c>
      <c r="F148" t="s">
        <v>473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331</v>
      </c>
      <c r="B149" t="s">
        <v>305</v>
      </c>
      <c r="C149">
        <v>3</v>
      </c>
      <c r="D149" t="s">
        <v>276</v>
      </c>
      <c r="E149" t="s">
        <v>277</v>
      </c>
      <c r="F149" t="s">
        <v>329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331</v>
      </c>
      <c r="B150" t="s">
        <v>445</v>
      </c>
      <c r="C150">
        <v>1</v>
      </c>
      <c r="D150" t="s">
        <v>276</v>
      </c>
      <c r="E150" t="s">
        <v>277</v>
      </c>
      <c r="F150" t="s">
        <v>434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331</v>
      </c>
      <c r="B151" t="s">
        <v>279</v>
      </c>
      <c r="C151">
        <v>0</v>
      </c>
      <c r="D151" t="s">
        <v>276</v>
      </c>
      <c r="E151" t="s">
        <v>277</v>
      </c>
      <c r="F151" t="s">
        <v>474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331</v>
      </c>
      <c r="B152" t="s">
        <v>369</v>
      </c>
      <c r="C152">
        <v>3</v>
      </c>
      <c r="D152" t="s">
        <v>352</v>
      </c>
      <c r="E152" t="s">
        <v>331</v>
      </c>
      <c r="F152" t="s">
        <v>379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K31"/>
  <sheetViews>
    <sheetView topLeftCell="A4" zoomScale="125" zoomScaleNormal="125" workbookViewId="0">
      <selection activeCell="F30" sqref="F30"/>
    </sheetView>
  </sheetViews>
  <sheetFormatPr defaultRowHeight="14" x14ac:dyDescent="0.3"/>
  <cols>
    <col min="6" max="6" width="50.082031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160</v>
      </c>
      <c r="F1" t="s">
        <v>221</v>
      </c>
      <c r="G1" t="s">
        <v>4</v>
      </c>
      <c r="H1" t="s">
        <v>5</v>
      </c>
      <c r="I1" t="s">
        <v>6</v>
      </c>
      <c r="J1" t="s">
        <v>7</v>
      </c>
      <c r="K1" t="s">
        <v>166</v>
      </c>
      <c r="L1" t="s">
        <v>8</v>
      </c>
      <c r="M1" t="s">
        <v>78</v>
      </c>
      <c r="N1" t="s">
        <v>79</v>
      </c>
      <c r="O1" t="s">
        <v>90</v>
      </c>
      <c r="P1" t="s">
        <v>171</v>
      </c>
      <c r="Q1" t="s">
        <v>130</v>
      </c>
      <c r="R1" t="s">
        <v>131</v>
      </c>
      <c r="S1" t="s">
        <v>132</v>
      </c>
      <c r="T1" t="s">
        <v>164</v>
      </c>
      <c r="U1" t="s">
        <v>133</v>
      </c>
      <c r="V1" t="s">
        <v>134</v>
      </c>
      <c r="W1" t="s">
        <v>135</v>
      </c>
      <c r="X1" t="s">
        <v>136</v>
      </c>
      <c r="Y1" t="s">
        <v>137</v>
      </c>
      <c r="Z1" t="s">
        <v>138</v>
      </c>
      <c r="AA1" t="s">
        <v>139</v>
      </c>
      <c r="AB1" t="s">
        <v>140</v>
      </c>
      <c r="AC1" t="s">
        <v>143</v>
      </c>
      <c r="AD1" t="s">
        <v>141</v>
      </c>
      <c r="AE1" t="s">
        <v>165</v>
      </c>
      <c r="AF1" t="s">
        <v>277</v>
      </c>
      <c r="AG1" t="s">
        <v>142</v>
      </c>
      <c r="AH1" t="s">
        <v>150</v>
      </c>
      <c r="AI1" t="s">
        <v>151</v>
      </c>
      <c r="AJ1" t="s">
        <v>152</v>
      </c>
    </row>
    <row r="2" spans="1:36" x14ac:dyDescent="0.3">
      <c r="B2" t="s">
        <v>194</v>
      </c>
      <c r="C2">
        <v>0</v>
      </c>
      <c r="D2" t="s">
        <v>66</v>
      </c>
      <c r="E2" t="s">
        <v>165</v>
      </c>
      <c r="F2" t="s">
        <v>195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194</v>
      </c>
      <c r="C3">
        <v>0</v>
      </c>
      <c r="D3" t="s">
        <v>66</v>
      </c>
      <c r="E3" t="s">
        <v>165</v>
      </c>
      <c r="F3" t="s">
        <v>195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232</v>
      </c>
      <c r="C4">
        <v>2</v>
      </c>
      <c r="D4" t="s">
        <v>81</v>
      </c>
      <c r="E4" t="s">
        <v>135</v>
      </c>
      <c r="F4" t="s">
        <v>297</v>
      </c>
      <c r="G4" t="s">
        <v>82</v>
      </c>
      <c r="H4">
        <v>-9</v>
      </c>
      <c r="L4">
        <v>1</v>
      </c>
      <c r="P4">
        <f>SUM(Q4:AE4)</f>
        <v>1</v>
      </c>
      <c r="W4">
        <v>1</v>
      </c>
      <c r="AH4">
        <v>1</v>
      </c>
    </row>
    <row r="5" spans="1:36" x14ac:dyDescent="0.3">
      <c r="B5" t="s">
        <v>282</v>
      </c>
      <c r="C5">
        <v>2</v>
      </c>
      <c r="D5" t="s">
        <v>276</v>
      </c>
      <c r="E5" t="s">
        <v>277</v>
      </c>
      <c r="F5" t="s">
        <v>304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330</v>
      </c>
      <c r="B6" t="s">
        <v>223</v>
      </c>
      <c r="C6">
        <v>1</v>
      </c>
      <c r="D6" t="s">
        <v>81</v>
      </c>
      <c r="E6" t="s">
        <v>134</v>
      </c>
      <c r="F6" t="s">
        <v>319</v>
      </c>
      <c r="G6" t="s">
        <v>63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330</v>
      </c>
      <c r="B7" t="s">
        <v>259</v>
      </c>
      <c r="C7">
        <v>0</v>
      </c>
      <c r="D7" t="s">
        <v>235</v>
      </c>
      <c r="E7" t="s">
        <v>260</v>
      </c>
      <c r="F7" t="s">
        <v>294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330</v>
      </c>
      <c r="B8" t="s">
        <v>281</v>
      </c>
      <c r="C8">
        <v>0</v>
      </c>
      <c r="D8" t="s">
        <v>66</v>
      </c>
      <c r="E8" t="s">
        <v>165</v>
      </c>
      <c r="F8" t="s">
        <v>293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330</v>
      </c>
      <c r="B9" t="s">
        <v>248</v>
      </c>
      <c r="C9">
        <v>1</v>
      </c>
      <c r="D9" t="s">
        <v>69</v>
      </c>
      <c r="E9" t="s">
        <v>164</v>
      </c>
      <c r="F9" t="s">
        <v>322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33</v>
      </c>
      <c r="B10" t="s">
        <v>199</v>
      </c>
      <c r="C10">
        <v>2</v>
      </c>
      <c r="D10" t="s">
        <v>69</v>
      </c>
      <c r="E10" t="s">
        <v>132</v>
      </c>
      <c r="F10" t="s">
        <v>200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116</v>
      </c>
      <c r="B12" s="2" t="s">
        <v>125</v>
      </c>
      <c r="C12" t="s">
        <v>117</v>
      </c>
      <c r="D12" t="s">
        <v>118</v>
      </c>
    </row>
    <row r="13" spans="1:36" x14ac:dyDescent="0.3">
      <c r="A13" t="s">
        <v>110</v>
      </c>
      <c r="B13" s="2" t="s">
        <v>298</v>
      </c>
      <c r="C13" t="s">
        <v>302</v>
      </c>
      <c r="D13" t="s">
        <v>303</v>
      </c>
    </row>
    <row r="14" spans="1:36" x14ac:dyDescent="0.3">
      <c r="A14" t="s">
        <v>107</v>
      </c>
      <c r="B14" s="2" t="s">
        <v>123</v>
      </c>
      <c r="C14" t="s">
        <v>487</v>
      </c>
      <c r="D14" t="s">
        <v>108</v>
      </c>
    </row>
    <row r="15" spans="1:36" x14ac:dyDescent="0.3">
      <c r="A15" t="s">
        <v>121</v>
      </c>
      <c r="B15" s="2" t="s">
        <v>301</v>
      </c>
      <c r="C15" t="s">
        <v>492</v>
      </c>
      <c r="D15" t="s">
        <v>122</v>
      </c>
    </row>
    <row r="16" spans="1:36" x14ac:dyDescent="0.3">
      <c r="A16" s="3" t="s">
        <v>330</v>
      </c>
      <c r="B16" t="s">
        <v>222</v>
      </c>
      <c r="C16">
        <v>2</v>
      </c>
      <c r="D16" t="s">
        <v>219</v>
      </c>
      <c r="E16" t="s">
        <v>220</v>
      </c>
      <c r="F16" t="s">
        <v>318</v>
      </c>
      <c r="G16" t="s">
        <v>61</v>
      </c>
      <c r="H16">
        <v>-9</v>
      </c>
      <c r="J16">
        <v>1</v>
      </c>
      <c r="P16">
        <f>SUM(Q16:AE16)</f>
        <v>1</v>
      </c>
      <c r="U16">
        <v>1</v>
      </c>
    </row>
    <row r="17" spans="1:37" x14ac:dyDescent="0.3">
      <c r="A17" s="3" t="s">
        <v>330</v>
      </c>
      <c r="B17" t="s">
        <v>54</v>
      </c>
      <c r="C17">
        <v>2</v>
      </c>
      <c r="D17" t="s">
        <v>12</v>
      </c>
      <c r="E17" t="s">
        <v>135</v>
      </c>
      <c r="F17" t="s">
        <v>290</v>
      </c>
      <c r="G17" t="s">
        <v>20</v>
      </c>
      <c r="H17">
        <v>-9</v>
      </c>
      <c r="J17">
        <v>1</v>
      </c>
      <c r="M17">
        <v>1</v>
      </c>
      <c r="O17">
        <v>1</v>
      </c>
      <c r="P17">
        <f>SUM(Q17:AE17)</f>
        <v>1</v>
      </c>
      <c r="U17">
        <v>1</v>
      </c>
    </row>
    <row r="18" spans="1:37" x14ac:dyDescent="0.3">
      <c r="A18" s="3" t="s">
        <v>330</v>
      </c>
      <c r="B18" t="s">
        <v>233</v>
      </c>
      <c r="C18">
        <v>3</v>
      </c>
      <c r="D18" t="s">
        <v>219</v>
      </c>
      <c r="E18" t="s">
        <v>230</v>
      </c>
      <c r="F18" t="s">
        <v>378</v>
      </c>
      <c r="G18" t="s">
        <v>205</v>
      </c>
      <c r="H18">
        <v>-12</v>
      </c>
      <c r="J18">
        <v>1</v>
      </c>
      <c r="M18">
        <v>1</v>
      </c>
      <c r="P18">
        <f>SUM(Q18:AE18)</f>
        <v>1</v>
      </c>
      <c r="W18">
        <v>1</v>
      </c>
      <c r="AH18">
        <v>1</v>
      </c>
    </row>
    <row r="19" spans="1:37" x14ac:dyDescent="0.3">
      <c r="A19" s="3" t="s">
        <v>330</v>
      </c>
      <c r="B19" t="s">
        <v>296</v>
      </c>
      <c r="C19">
        <v>0</v>
      </c>
      <c r="D19" t="s">
        <v>69</v>
      </c>
      <c r="E19" t="s">
        <v>131</v>
      </c>
      <c r="F19" t="s">
        <v>170</v>
      </c>
      <c r="H19">
        <v>3</v>
      </c>
      <c r="L19">
        <v>1</v>
      </c>
      <c r="P19">
        <f>SUM(Q19:AE19)</f>
        <v>1</v>
      </c>
      <c r="R19">
        <v>1</v>
      </c>
    </row>
    <row r="20" spans="1:37" x14ac:dyDescent="0.3">
      <c r="A20" s="3" t="s">
        <v>26</v>
      </c>
      <c r="B20" t="s">
        <v>28</v>
      </c>
      <c r="C20">
        <v>0</v>
      </c>
      <c r="D20" t="s">
        <v>12</v>
      </c>
      <c r="E20" t="s">
        <v>135</v>
      </c>
      <c r="F20" t="s">
        <v>444</v>
      </c>
      <c r="G20" t="s">
        <v>328</v>
      </c>
      <c r="H20">
        <v>2</v>
      </c>
      <c r="K20">
        <v>1</v>
      </c>
      <c r="N20">
        <v>1</v>
      </c>
      <c r="P20">
        <f>SUM(Q20:AE20)</f>
        <v>1</v>
      </c>
      <c r="W20">
        <v>1</v>
      </c>
    </row>
    <row r="22" spans="1:37" x14ac:dyDescent="0.3">
      <c r="B22" t="s">
        <v>585</v>
      </c>
    </row>
    <row r="23" spans="1:37" x14ac:dyDescent="0.3">
      <c r="A23" s="3" t="s">
        <v>330</v>
      </c>
      <c r="B23" t="s">
        <v>270</v>
      </c>
      <c r="C23">
        <v>2</v>
      </c>
      <c r="D23" t="s">
        <v>66</v>
      </c>
      <c r="E23" t="s">
        <v>139</v>
      </c>
      <c r="F23" t="s">
        <v>284</v>
      </c>
      <c r="H23">
        <v>12</v>
      </c>
      <c r="J23">
        <v>1</v>
      </c>
      <c r="Q23">
        <f t="shared" ref="Q23:Q31" si="0">SUM(R23:AF23)</f>
        <v>1</v>
      </c>
      <c r="AB23">
        <v>1</v>
      </c>
    </row>
    <row r="24" spans="1:37" x14ac:dyDescent="0.3">
      <c r="A24" s="3" t="s">
        <v>330</v>
      </c>
      <c r="B24" t="s">
        <v>275</v>
      </c>
      <c r="C24">
        <v>2</v>
      </c>
      <c r="D24" t="s">
        <v>66</v>
      </c>
      <c r="E24" t="s">
        <v>139</v>
      </c>
      <c r="F24" t="s">
        <v>346</v>
      </c>
      <c r="H24">
        <v>11</v>
      </c>
      <c r="J24">
        <v>1</v>
      </c>
      <c r="Q24">
        <f t="shared" si="0"/>
        <v>1</v>
      </c>
      <c r="AB24">
        <v>1</v>
      </c>
    </row>
    <row r="25" spans="1:37" x14ac:dyDescent="0.3">
      <c r="A25" s="3" t="s">
        <v>330</v>
      </c>
      <c r="B25" t="s">
        <v>74</v>
      </c>
      <c r="C25">
        <v>1</v>
      </c>
      <c r="D25" t="s">
        <v>66</v>
      </c>
      <c r="E25" t="s">
        <v>136</v>
      </c>
      <c r="F25" t="s">
        <v>459</v>
      </c>
      <c r="H25">
        <v>7</v>
      </c>
      <c r="J25">
        <v>1</v>
      </c>
      <c r="Q25">
        <f t="shared" si="0"/>
        <v>1</v>
      </c>
      <c r="Y25">
        <v>1</v>
      </c>
    </row>
    <row r="26" spans="1:37" x14ac:dyDescent="0.3">
      <c r="A26" s="3" t="s">
        <v>330</v>
      </c>
      <c r="B26" t="s">
        <v>177</v>
      </c>
      <c r="C26">
        <v>1</v>
      </c>
      <c r="D26" t="s">
        <v>66</v>
      </c>
      <c r="E26" t="s">
        <v>136</v>
      </c>
      <c r="F26" t="s">
        <v>292</v>
      </c>
      <c r="H26">
        <v>5</v>
      </c>
      <c r="J26">
        <v>1</v>
      </c>
      <c r="Q26">
        <f t="shared" si="0"/>
        <v>1</v>
      </c>
      <c r="Y26">
        <v>1</v>
      </c>
    </row>
    <row r="27" spans="1:37" x14ac:dyDescent="0.3">
      <c r="A27" s="3" t="s">
        <v>330</v>
      </c>
      <c r="B27" t="s">
        <v>241</v>
      </c>
      <c r="C27">
        <v>2</v>
      </c>
      <c r="D27" t="s">
        <v>66</v>
      </c>
      <c r="E27" t="s">
        <v>136</v>
      </c>
      <c r="F27" t="s">
        <v>348</v>
      </c>
      <c r="H27">
        <v>3</v>
      </c>
      <c r="J27">
        <v>1</v>
      </c>
      <c r="Q27">
        <f t="shared" si="0"/>
        <v>1</v>
      </c>
      <c r="Y27">
        <v>1</v>
      </c>
      <c r="AJ27">
        <v>1</v>
      </c>
    </row>
    <row r="28" spans="1:37" x14ac:dyDescent="0.3">
      <c r="A28" s="3" t="s">
        <v>330</v>
      </c>
      <c r="B28" t="s">
        <v>237</v>
      </c>
      <c r="C28">
        <v>2</v>
      </c>
      <c r="D28" t="s">
        <v>66</v>
      </c>
      <c r="E28" t="s">
        <v>136</v>
      </c>
      <c r="F28" t="s">
        <v>350</v>
      </c>
      <c r="H28">
        <v>3</v>
      </c>
      <c r="J28">
        <v>1</v>
      </c>
      <c r="Q28">
        <f t="shared" si="0"/>
        <v>1</v>
      </c>
      <c r="Y28">
        <v>1</v>
      </c>
      <c r="AK28">
        <v>1</v>
      </c>
    </row>
    <row r="29" spans="1:37" x14ac:dyDescent="0.3">
      <c r="A29" s="3" t="s">
        <v>330</v>
      </c>
      <c r="B29" t="s">
        <v>239</v>
      </c>
      <c r="C29">
        <v>2</v>
      </c>
      <c r="D29" t="s">
        <v>66</v>
      </c>
      <c r="E29" t="s">
        <v>136</v>
      </c>
      <c r="F29" t="s">
        <v>351</v>
      </c>
      <c r="H29">
        <v>5</v>
      </c>
      <c r="J29">
        <v>1</v>
      </c>
      <c r="Q29">
        <f t="shared" si="0"/>
        <v>1</v>
      </c>
      <c r="Y29">
        <v>1</v>
      </c>
      <c r="AI29">
        <v>1</v>
      </c>
    </row>
    <row r="30" spans="1:37" x14ac:dyDescent="0.3">
      <c r="A30" s="3" t="s">
        <v>330</v>
      </c>
      <c r="B30" t="s">
        <v>231</v>
      </c>
      <c r="C30">
        <v>2</v>
      </c>
      <c r="D30" t="s">
        <v>81</v>
      </c>
      <c r="E30" t="s">
        <v>135</v>
      </c>
      <c r="F30" t="s">
        <v>535</v>
      </c>
      <c r="G30" t="s">
        <v>227</v>
      </c>
      <c r="H30">
        <v>-9</v>
      </c>
      <c r="J30">
        <v>1</v>
      </c>
      <c r="Q30">
        <f t="shared" si="0"/>
        <v>1</v>
      </c>
      <c r="X30">
        <v>1</v>
      </c>
    </row>
    <row r="31" spans="1:37" x14ac:dyDescent="0.3">
      <c r="A31" s="3" t="s">
        <v>330</v>
      </c>
      <c r="B31" t="s">
        <v>198</v>
      </c>
      <c r="C31">
        <v>1</v>
      </c>
      <c r="D31" t="s">
        <v>69</v>
      </c>
      <c r="E31" t="s">
        <v>132</v>
      </c>
      <c r="F31" t="s">
        <v>466</v>
      </c>
      <c r="H31">
        <v>3</v>
      </c>
      <c r="L31">
        <v>1</v>
      </c>
      <c r="Q31">
        <f t="shared" si="0"/>
        <v>1</v>
      </c>
      <c r="T31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I7" sqref="I7"/>
    </sheetView>
  </sheetViews>
  <sheetFormatPr defaultRowHeight="14" x14ac:dyDescent="0.3"/>
  <cols>
    <col min="4" max="4" width="26" customWidth="1"/>
  </cols>
  <sheetData>
    <row r="1" spans="1:10" x14ac:dyDescent="0.3">
      <c r="A1" t="s">
        <v>180</v>
      </c>
      <c r="B1" t="s">
        <v>181</v>
      </c>
      <c r="C1" t="s">
        <v>184</v>
      </c>
      <c r="D1" t="s">
        <v>192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182</v>
      </c>
      <c r="B2">
        <v>2</v>
      </c>
      <c r="C2">
        <v>4</v>
      </c>
      <c r="D2" t="s">
        <v>337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</row>
    <row r="3" spans="1:10" x14ac:dyDescent="0.3">
      <c r="A3" t="s">
        <v>193</v>
      </c>
      <c r="B3">
        <v>1</v>
      </c>
      <c r="C3">
        <v>6</v>
      </c>
      <c r="E3" t="s">
        <v>187</v>
      </c>
      <c r="F3" t="s">
        <v>187</v>
      </c>
      <c r="G3" t="s">
        <v>191</v>
      </c>
      <c r="H3" t="s">
        <v>188</v>
      </c>
      <c r="I3" t="s">
        <v>189</v>
      </c>
      <c r="J3" t="s">
        <v>189</v>
      </c>
    </row>
    <row r="4" spans="1:10" x14ac:dyDescent="0.3">
      <c r="A4" t="s">
        <v>185</v>
      </c>
      <c r="B4">
        <v>1</v>
      </c>
      <c r="C4">
        <v>5</v>
      </c>
      <c r="E4" t="s">
        <v>187</v>
      </c>
      <c r="F4" t="s">
        <v>187</v>
      </c>
      <c r="G4" t="s">
        <v>186</v>
      </c>
      <c r="H4" t="s">
        <v>186</v>
      </c>
      <c r="I4" t="s">
        <v>191</v>
      </c>
      <c r="J4" t="s">
        <v>188</v>
      </c>
    </row>
    <row r="5" spans="1:10" x14ac:dyDescent="0.3">
      <c r="A5" t="s">
        <v>190</v>
      </c>
      <c r="B5">
        <v>1</v>
      </c>
      <c r="C5">
        <v>7</v>
      </c>
      <c r="E5" t="s">
        <v>187</v>
      </c>
      <c r="F5" t="s">
        <v>187</v>
      </c>
      <c r="G5" t="s">
        <v>187</v>
      </c>
      <c r="H5" t="s">
        <v>191</v>
      </c>
      <c r="I5" t="s">
        <v>191</v>
      </c>
      <c r="J5" t="s">
        <v>188</v>
      </c>
    </row>
    <row r="6" spans="1:10" x14ac:dyDescent="0.3">
      <c r="A6" t="s">
        <v>475</v>
      </c>
      <c r="B6">
        <v>1</v>
      </c>
      <c r="C6">
        <v>5</v>
      </c>
      <c r="E6" t="s">
        <v>187</v>
      </c>
      <c r="F6" t="s">
        <v>187</v>
      </c>
      <c r="G6" t="s">
        <v>186</v>
      </c>
      <c r="H6" t="s">
        <v>191</v>
      </c>
      <c r="I6" t="s">
        <v>188</v>
      </c>
      <c r="J6" t="s">
        <v>189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A2" sqref="A2:XFD9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103</v>
      </c>
      <c r="B1" s="2" t="s">
        <v>104</v>
      </c>
      <c r="C1" t="s">
        <v>105</v>
      </c>
      <c r="D1" t="s">
        <v>106</v>
      </c>
    </row>
    <row r="2" spans="1:4" x14ac:dyDescent="0.3">
      <c r="A2" t="s">
        <v>602</v>
      </c>
      <c r="B2" s="2" t="s">
        <v>599</v>
      </c>
      <c r="C2" t="s">
        <v>600</v>
      </c>
      <c r="D2" t="s">
        <v>601</v>
      </c>
    </row>
    <row r="3" spans="1:4" x14ac:dyDescent="0.3">
      <c r="A3" t="s">
        <v>581</v>
      </c>
      <c r="B3" s="2" t="s">
        <v>299</v>
      </c>
      <c r="C3" t="s">
        <v>488</v>
      </c>
      <c r="D3" t="s">
        <v>111</v>
      </c>
    </row>
    <row r="4" spans="1:4" x14ac:dyDescent="0.3">
      <c r="A4" t="s">
        <v>112</v>
      </c>
      <c r="B4" s="2" t="s">
        <v>300</v>
      </c>
      <c r="C4" t="s">
        <v>489</v>
      </c>
      <c r="D4" t="s">
        <v>113</v>
      </c>
    </row>
    <row r="5" spans="1:4" x14ac:dyDescent="0.3">
      <c r="A5" t="s">
        <v>114</v>
      </c>
      <c r="B5" s="2" t="s">
        <v>603</v>
      </c>
      <c r="C5" t="s">
        <v>490</v>
      </c>
      <c r="D5" t="s">
        <v>115</v>
      </c>
    </row>
    <row r="6" spans="1:4" x14ac:dyDescent="0.3">
      <c r="A6" t="s">
        <v>119</v>
      </c>
      <c r="B6" s="2" t="s">
        <v>299</v>
      </c>
      <c r="C6" t="s">
        <v>491</v>
      </c>
      <c r="D6" t="s">
        <v>120</v>
      </c>
    </row>
    <row r="7" spans="1:4" x14ac:dyDescent="0.3">
      <c r="A7" t="s">
        <v>326</v>
      </c>
      <c r="B7" s="2" t="s">
        <v>325</v>
      </c>
      <c r="C7" t="s">
        <v>424</v>
      </c>
      <c r="D7" t="s">
        <v>386</v>
      </c>
    </row>
    <row r="8" spans="1:4" x14ac:dyDescent="0.3">
      <c r="A8" t="s">
        <v>109</v>
      </c>
      <c r="B8" s="2" t="s">
        <v>387</v>
      </c>
      <c r="C8" t="s">
        <v>423</v>
      </c>
      <c r="D8" t="s">
        <v>388</v>
      </c>
    </row>
    <row r="9" spans="1:4" x14ac:dyDescent="0.3">
      <c r="A9" t="s">
        <v>109</v>
      </c>
      <c r="B9" s="2" t="s">
        <v>387</v>
      </c>
      <c r="C9" t="s">
        <v>423</v>
      </c>
      <c r="D9" t="s">
        <v>388</v>
      </c>
    </row>
    <row r="10" spans="1:4" x14ac:dyDescent="0.3">
      <c r="A10" t="s">
        <v>338</v>
      </c>
      <c r="B10" s="2" t="s">
        <v>339</v>
      </c>
      <c r="C10" t="s">
        <v>340</v>
      </c>
      <c r="D10" t="s">
        <v>341</v>
      </c>
    </row>
    <row r="11" spans="1:4" x14ac:dyDescent="0.3">
      <c r="A11" t="s">
        <v>94</v>
      </c>
      <c r="B11" s="2" t="s">
        <v>125</v>
      </c>
      <c r="C11" t="s">
        <v>579</v>
      </c>
      <c r="D11" t="s">
        <v>580</v>
      </c>
    </row>
    <row r="12" spans="1:4" x14ac:dyDescent="0.3">
      <c r="A12" t="s">
        <v>270</v>
      </c>
      <c r="B12" s="2" t="s">
        <v>382</v>
      </c>
      <c r="C12" t="s">
        <v>384</v>
      </c>
      <c r="D12" t="s">
        <v>383</v>
      </c>
    </row>
    <row r="13" spans="1:4" x14ac:dyDescent="0.3">
      <c r="A13" t="s">
        <v>124</v>
      </c>
      <c r="B13" s="2" t="s">
        <v>298</v>
      </c>
      <c r="C13" t="s">
        <v>342</v>
      </c>
      <c r="D13" t="s">
        <v>437</v>
      </c>
    </row>
    <row r="14" spans="1:4" x14ac:dyDescent="0.3">
      <c r="A14" t="s">
        <v>126</v>
      </c>
      <c r="B14" s="2" t="s">
        <v>298</v>
      </c>
      <c r="C14" t="s">
        <v>343</v>
      </c>
      <c r="D14" t="s">
        <v>438</v>
      </c>
    </row>
    <row r="15" spans="1:4" x14ac:dyDescent="0.3">
      <c r="A15" t="s">
        <v>127</v>
      </c>
      <c r="B15" s="2" t="s">
        <v>298</v>
      </c>
      <c r="C15" t="s">
        <v>344</v>
      </c>
      <c r="D15" t="s">
        <v>439</v>
      </c>
    </row>
    <row r="16" spans="1:4" x14ac:dyDescent="0.3">
      <c r="A16" t="s">
        <v>486</v>
      </c>
      <c r="B16" s="2" t="s">
        <v>325</v>
      </c>
      <c r="C16" t="s">
        <v>324</v>
      </c>
      <c r="D16" t="s">
        <v>385</v>
      </c>
    </row>
    <row r="17" spans="1:4" x14ac:dyDescent="0.3">
      <c r="A17" t="s">
        <v>604</v>
      </c>
      <c r="B17" s="2" t="s">
        <v>605</v>
      </c>
      <c r="C17" t="s">
        <v>607</v>
      </c>
      <c r="D17" t="s">
        <v>606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25009-0771-4CB9-8CBC-D5631726993C}">
  <dimension ref="A1:AL149"/>
  <sheetViews>
    <sheetView tabSelected="1" zoomScale="125" zoomScaleNormal="125" workbookViewId="0">
      <pane xSplit="2" ySplit="2" topLeftCell="C60" activePane="bottomRight" state="frozen"/>
      <selection pane="topRight" activeCell="C1" sqref="C1"/>
      <selection pane="bottomLeft" activeCell="A3" sqref="A3"/>
      <selection pane="bottomRight" activeCell="D74" sqref="D74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4" width="8.664062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160</v>
      </c>
      <c r="F1" t="s">
        <v>221</v>
      </c>
      <c r="G1" t="s">
        <v>4</v>
      </c>
      <c r="H1" t="s">
        <v>5</v>
      </c>
      <c r="I1" t="s">
        <v>510</v>
      </c>
      <c r="J1" t="s">
        <v>6</v>
      </c>
      <c r="K1" t="s">
        <v>7</v>
      </c>
      <c r="L1" t="s">
        <v>166</v>
      </c>
      <c r="M1" t="s">
        <v>8</v>
      </c>
      <c r="N1" t="s">
        <v>78</v>
      </c>
      <c r="O1" t="s">
        <v>79</v>
      </c>
      <c r="P1" t="s">
        <v>90</v>
      </c>
      <c r="Q1" t="s">
        <v>171</v>
      </c>
      <c r="R1" t="s">
        <v>629</v>
      </c>
      <c r="S1" t="s">
        <v>130</v>
      </c>
      <c r="T1" t="s">
        <v>131</v>
      </c>
      <c r="U1" t="s">
        <v>132</v>
      </c>
      <c r="V1" t="s">
        <v>164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139</v>
      </c>
      <c r="AD1" t="s">
        <v>140</v>
      </c>
      <c r="AE1" t="s">
        <v>143</v>
      </c>
      <c r="AF1" t="s">
        <v>141</v>
      </c>
      <c r="AG1" t="s">
        <v>165</v>
      </c>
      <c r="AH1" t="s">
        <v>277</v>
      </c>
      <c r="AI1" t="s">
        <v>142</v>
      </c>
      <c r="AJ1" t="s">
        <v>150</v>
      </c>
      <c r="AK1" t="s">
        <v>151</v>
      </c>
      <c r="AL1" t="s">
        <v>152</v>
      </c>
    </row>
    <row r="2" spans="1:38" x14ac:dyDescent="0.3">
      <c r="A2" t="s">
        <v>9</v>
      </c>
      <c r="C2" s="1">
        <f>AVERAGE(C12:C162)</f>
        <v>1.4765625</v>
      </c>
      <c r="I2">
        <f t="shared" ref="I2:P2" si="0">SUM(I3:I162)</f>
        <v>30</v>
      </c>
      <c r="J2">
        <f t="shared" si="0"/>
        <v>30</v>
      </c>
      <c r="K2">
        <f t="shared" si="0"/>
        <v>46</v>
      </c>
      <c r="L2">
        <f t="shared" si="0"/>
        <v>28</v>
      </c>
      <c r="M2">
        <f t="shared" si="0"/>
        <v>36</v>
      </c>
      <c r="N2">
        <f t="shared" si="0"/>
        <v>20</v>
      </c>
      <c r="O2">
        <f t="shared" si="0"/>
        <v>3</v>
      </c>
      <c r="P2">
        <f t="shared" si="0"/>
        <v>14</v>
      </c>
      <c r="S2">
        <f t="shared" ref="S2:AH2" si="1">SUM(S3:S162)</f>
        <v>10</v>
      </c>
      <c r="T2">
        <f t="shared" si="1"/>
        <v>7</v>
      </c>
      <c r="U2">
        <f t="shared" si="1"/>
        <v>8</v>
      </c>
      <c r="V2">
        <f t="shared" si="1"/>
        <v>8</v>
      </c>
      <c r="W2">
        <f t="shared" si="1"/>
        <v>13</v>
      </c>
      <c r="X2">
        <f t="shared" si="1"/>
        <v>8</v>
      </c>
      <c r="Y2">
        <f t="shared" si="1"/>
        <v>9</v>
      </c>
      <c r="Z2">
        <f t="shared" si="1"/>
        <v>5</v>
      </c>
      <c r="AA2">
        <f t="shared" si="1"/>
        <v>5</v>
      </c>
      <c r="AB2">
        <f t="shared" si="1"/>
        <v>16</v>
      </c>
      <c r="AC2">
        <f t="shared" si="1"/>
        <v>8</v>
      </c>
      <c r="AD2">
        <f t="shared" si="1"/>
        <v>5</v>
      </c>
      <c r="AE2">
        <f t="shared" si="1"/>
        <v>5</v>
      </c>
      <c r="AF2">
        <f t="shared" si="1"/>
        <v>6</v>
      </c>
      <c r="AG2">
        <f t="shared" si="1"/>
        <v>10</v>
      </c>
      <c r="AH2">
        <f t="shared" si="1"/>
        <v>5</v>
      </c>
      <c r="AI2">
        <f>SUM(S2:AH2)</f>
        <v>128</v>
      </c>
      <c r="AJ2">
        <f>SUM(AJ3:AJ162)</f>
        <v>10</v>
      </c>
      <c r="AK2">
        <f>SUM(AK3:AK162)</f>
        <v>9</v>
      </c>
      <c r="AL2">
        <f>SUM(AL3:AL162)</f>
        <v>10</v>
      </c>
    </row>
    <row r="3" spans="1:38" x14ac:dyDescent="0.3">
      <c r="A3" t="s">
        <v>10</v>
      </c>
      <c r="B3" t="s">
        <v>11</v>
      </c>
      <c r="C3">
        <v>0</v>
      </c>
      <c r="D3" t="s">
        <v>12</v>
      </c>
      <c r="E3" t="s">
        <v>161</v>
      </c>
      <c r="G3" t="s">
        <v>13</v>
      </c>
      <c r="H3">
        <v>3</v>
      </c>
      <c r="Q3">
        <f>SUM(R3:AH3)</f>
        <v>1</v>
      </c>
      <c r="R3">
        <v>1</v>
      </c>
    </row>
    <row r="4" spans="1:38" x14ac:dyDescent="0.3">
      <c r="A4" s="3" t="s">
        <v>10</v>
      </c>
      <c r="B4" t="s">
        <v>14</v>
      </c>
      <c r="C4">
        <v>0</v>
      </c>
      <c r="D4" t="s">
        <v>12</v>
      </c>
      <c r="E4" t="s">
        <v>161</v>
      </c>
      <c r="F4" t="s">
        <v>515</v>
      </c>
      <c r="G4" t="s">
        <v>16</v>
      </c>
      <c r="H4">
        <v>0</v>
      </c>
      <c r="K4">
        <v>1</v>
      </c>
      <c r="Q4">
        <f t="shared" ref="Q4:Q67" si="2">SUM(R4:AH4)</f>
        <v>1</v>
      </c>
      <c r="R4">
        <v>1</v>
      </c>
    </row>
    <row r="5" spans="1:38" x14ac:dyDescent="0.3">
      <c r="A5" s="3" t="s">
        <v>10</v>
      </c>
      <c r="B5" t="s">
        <v>631</v>
      </c>
      <c r="C5">
        <v>0</v>
      </c>
      <c r="D5" t="s">
        <v>81</v>
      </c>
      <c r="E5" t="s">
        <v>161</v>
      </c>
      <c r="F5" t="s">
        <v>516</v>
      </c>
      <c r="G5" t="s">
        <v>421</v>
      </c>
      <c r="H5">
        <v>0</v>
      </c>
      <c r="J5">
        <v>1</v>
      </c>
      <c r="Q5">
        <f t="shared" si="2"/>
        <v>1</v>
      </c>
      <c r="R5">
        <v>1</v>
      </c>
    </row>
    <row r="6" spans="1:38" x14ac:dyDescent="0.3">
      <c r="A6" s="4" t="s">
        <v>10</v>
      </c>
      <c r="B6" t="s">
        <v>17</v>
      </c>
      <c r="C6">
        <v>0</v>
      </c>
      <c r="D6" t="s">
        <v>12</v>
      </c>
      <c r="E6" t="s">
        <v>161</v>
      </c>
      <c r="F6" t="s">
        <v>517</v>
      </c>
      <c r="G6" t="s">
        <v>421</v>
      </c>
      <c r="H6">
        <v>0</v>
      </c>
      <c r="M6">
        <v>1</v>
      </c>
      <c r="Q6">
        <f t="shared" si="2"/>
        <v>1</v>
      </c>
      <c r="R6">
        <v>1</v>
      </c>
    </row>
    <row r="7" spans="1:38" x14ac:dyDescent="0.3">
      <c r="A7" s="4" t="s">
        <v>10</v>
      </c>
      <c r="B7" t="s">
        <v>18</v>
      </c>
      <c r="C7">
        <v>0</v>
      </c>
      <c r="D7" t="s">
        <v>12</v>
      </c>
      <c r="E7" t="s">
        <v>161</v>
      </c>
      <c r="F7" t="s">
        <v>518</v>
      </c>
      <c r="G7" t="s">
        <v>421</v>
      </c>
      <c r="H7">
        <v>0</v>
      </c>
      <c r="M7">
        <v>1</v>
      </c>
      <c r="Q7">
        <f t="shared" si="2"/>
        <v>1</v>
      </c>
      <c r="R7">
        <v>1</v>
      </c>
    </row>
    <row r="8" spans="1:38" x14ac:dyDescent="0.3">
      <c r="A8" s="4" t="s">
        <v>10</v>
      </c>
      <c r="B8" t="s">
        <v>19</v>
      </c>
      <c r="C8">
        <v>1</v>
      </c>
      <c r="D8" t="s">
        <v>12</v>
      </c>
      <c r="E8" t="s">
        <v>161</v>
      </c>
      <c r="F8" t="s">
        <v>519</v>
      </c>
      <c r="G8" t="s">
        <v>61</v>
      </c>
      <c r="H8">
        <v>0</v>
      </c>
      <c r="K8">
        <v>1</v>
      </c>
      <c r="Q8">
        <f t="shared" si="2"/>
        <v>1</v>
      </c>
      <c r="R8">
        <v>1</v>
      </c>
    </row>
    <row r="9" spans="1:38" x14ac:dyDescent="0.3">
      <c r="A9" s="4" t="s">
        <v>10</v>
      </c>
      <c r="B9" t="s">
        <v>21</v>
      </c>
      <c r="C9">
        <v>1</v>
      </c>
      <c r="D9" t="s">
        <v>12</v>
      </c>
      <c r="E9" t="s">
        <v>161</v>
      </c>
      <c r="F9" t="s">
        <v>520</v>
      </c>
      <c r="G9" t="s">
        <v>425</v>
      </c>
      <c r="H9">
        <v>0</v>
      </c>
      <c r="L9">
        <v>1</v>
      </c>
      <c r="Q9">
        <f t="shared" si="2"/>
        <v>1</v>
      </c>
      <c r="R9">
        <v>1</v>
      </c>
      <c r="AK9">
        <v>1</v>
      </c>
    </row>
    <row r="10" spans="1:38" x14ac:dyDescent="0.3">
      <c r="A10" s="4" t="s">
        <v>10</v>
      </c>
      <c r="B10" t="s">
        <v>222</v>
      </c>
      <c r="C10">
        <v>2</v>
      </c>
      <c r="D10" t="s">
        <v>12</v>
      </c>
      <c r="E10" t="s">
        <v>161</v>
      </c>
      <c r="F10" t="s">
        <v>521</v>
      </c>
      <c r="G10" t="s">
        <v>205</v>
      </c>
      <c r="H10">
        <v>-9</v>
      </c>
      <c r="K10">
        <v>1</v>
      </c>
      <c r="Q10">
        <f t="shared" si="2"/>
        <v>1</v>
      </c>
      <c r="R10">
        <v>1</v>
      </c>
    </row>
    <row r="11" spans="1:38" x14ac:dyDescent="0.3">
      <c r="A11" t="s">
        <v>22</v>
      </c>
      <c r="B11" t="s">
        <v>22</v>
      </c>
      <c r="C11" t="s">
        <v>13</v>
      </c>
      <c r="D11" t="s">
        <v>23</v>
      </c>
      <c r="E11" t="s">
        <v>162</v>
      </c>
      <c r="F11" t="s">
        <v>506</v>
      </c>
      <c r="M11">
        <v>1</v>
      </c>
      <c r="Q11">
        <f t="shared" si="2"/>
        <v>1</v>
      </c>
      <c r="R11">
        <v>1</v>
      </c>
    </row>
    <row r="12" spans="1:38" x14ac:dyDescent="0.3">
      <c r="A12" s="3" t="s">
        <v>22</v>
      </c>
      <c r="B12" t="s">
        <v>24</v>
      </c>
      <c r="C12">
        <v>3</v>
      </c>
      <c r="D12" t="s">
        <v>81</v>
      </c>
      <c r="E12" t="s">
        <v>130</v>
      </c>
      <c r="F12" t="s">
        <v>507</v>
      </c>
      <c r="G12" t="s">
        <v>396</v>
      </c>
      <c r="H12">
        <v>-12</v>
      </c>
      <c r="I12">
        <v>1</v>
      </c>
      <c r="K12">
        <v>1</v>
      </c>
      <c r="Q12">
        <f t="shared" si="2"/>
        <v>1</v>
      </c>
      <c r="S12">
        <v>1</v>
      </c>
    </row>
    <row r="13" spans="1:38" x14ac:dyDescent="0.3">
      <c r="A13" s="4" t="s">
        <v>22</v>
      </c>
      <c r="B13" t="s">
        <v>35</v>
      </c>
      <c r="C13">
        <v>2</v>
      </c>
      <c r="D13" t="s">
        <v>81</v>
      </c>
      <c r="E13" t="s">
        <v>132</v>
      </c>
      <c r="F13" t="s">
        <v>508</v>
      </c>
      <c r="G13" t="s">
        <v>205</v>
      </c>
      <c r="H13">
        <v>-9</v>
      </c>
      <c r="I13">
        <v>1</v>
      </c>
      <c r="M13">
        <v>1</v>
      </c>
      <c r="Q13">
        <f t="shared" si="2"/>
        <v>1</v>
      </c>
      <c r="U13">
        <v>1</v>
      </c>
    </row>
    <row r="14" spans="1:38" x14ac:dyDescent="0.3">
      <c r="A14" s="4" t="s">
        <v>22</v>
      </c>
      <c r="B14" t="s">
        <v>87</v>
      </c>
      <c r="C14">
        <v>1</v>
      </c>
      <c r="D14" t="s">
        <v>81</v>
      </c>
      <c r="E14" t="s">
        <v>135</v>
      </c>
      <c r="F14" t="s">
        <v>522</v>
      </c>
      <c r="G14" t="s">
        <v>425</v>
      </c>
      <c r="H14">
        <v>-6</v>
      </c>
      <c r="M14">
        <v>1</v>
      </c>
      <c r="Q14">
        <f t="shared" si="2"/>
        <v>1</v>
      </c>
      <c r="Y14">
        <v>1</v>
      </c>
    </row>
    <row r="15" spans="1:38" x14ac:dyDescent="0.3">
      <c r="A15" t="s">
        <v>26</v>
      </c>
      <c r="B15" t="s">
        <v>27</v>
      </c>
      <c r="C15" t="s">
        <v>13</v>
      </c>
      <c r="D15" t="s">
        <v>23</v>
      </c>
      <c r="E15" t="s">
        <v>162</v>
      </c>
      <c r="F15" t="s">
        <v>511</v>
      </c>
      <c r="L15">
        <v>1</v>
      </c>
      <c r="Q15">
        <f t="shared" si="2"/>
        <v>1</v>
      </c>
      <c r="R15">
        <v>1</v>
      </c>
    </row>
    <row r="16" spans="1:38" x14ac:dyDescent="0.3">
      <c r="A16" s="3" t="s">
        <v>26</v>
      </c>
      <c r="B16" t="s">
        <v>28</v>
      </c>
      <c r="C16">
        <v>1</v>
      </c>
      <c r="D16" t="s">
        <v>12</v>
      </c>
      <c r="E16" t="s">
        <v>135</v>
      </c>
      <c r="F16" t="s">
        <v>523</v>
      </c>
      <c r="G16" t="s">
        <v>425</v>
      </c>
      <c r="H16">
        <v>-6</v>
      </c>
      <c r="L16">
        <v>1</v>
      </c>
      <c r="O16">
        <v>1</v>
      </c>
      <c r="Q16">
        <f t="shared" si="2"/>
        <v>1</v>
      </c>
      <c r="Y16">
        <v>1</v>
      </c>
    </row>
    <row r="17" spans="1:29" x14ac:dyDescent="0.3">
      <c r="A17" s="4" t="s">
        <v>26</v>
      </c>
      <c r="B17" t="s">
        <v>29</v>
      </c>
      <c r="C17">
        <v>3</v>
      </c>
      <c r="D17" t="s">
        <v>12</v>
      </c>
      <c r="E17" t="s">
        <v>133</v>
      </c>
      <c r="F17" t="s">
        <v>608</v>
      </c>
      <c r="G17" t="s">
        <v>396</v>
      </c>
      <c r="H17">
        <v>-12</v>
      </c>
      <c r="K17">
        <v>1</v>
      </c>
      <c r="Q17">
        <f t="shared" si="2"/>
        <v>1</v>
      </c>
      <c r="W17">
        <v>1</v>
      </c>
    </row>
    <row r="18" spans="1:29" x14ac:dyDescent="0.3">
      <c r="A18" s="4" t="s">
        <v>26</v>
      </c>
      <c r="B18" t="s">
        <v>68</v>
      </c>
      <c r="C18">
        <v>3</v>
      </c>
      <c r="D18" t="s">
        <v>81</v>
      </c>
      <c r="E18" t="s">
        <v>130</v>
      </c>
      <c r="F18" t="s">
        <v>512</v>
      </c>
      <c r="G18" t="s">
        <v>374</v>
      </c>
      <c r="H18">
        <v>-12</v>
      </c>
      <c r="I18">
        <v>1</v>
      </c>
      <c r="M18">
        <v>1</v>
      </c>
      <c r="Q18">
        <f t="shared" si="2"/>
        <v>1</v>
      </c>
      <c r="S18">
        <v>1</v>
      </c>
    </row>
    <row r="19" spans="1:29" x14ac:dyDescent="0.3">
      <c r="A19" t="s">
        <v>30</v>
      </c>
      <c r="B19" t="s">
        <v>31</v>
      </c>
      <c r="C19" t="s">
        <v>13</v>
      </c>
      <c r="D19" t="s">
        <v>23</v>
      </c>
      <c r="E19" t="s">
        <v>162</v>
      </c>
      <c r="F19" t="s">
        <v>536</v>
      </c>
      <c r="K19">
        <v>1</v>
      </c>
      <c r="Q19">
        <f t="shared" si="2"/>
        <v>1</v>
      </c>
      <c r="R19">
        <v>1</v>
      </c>
    </row>
    <row r="20" spans="1:29" x14ac:dyDescent="0.3">
      <c r="A20" s="3" t="s">
        <v>30</v>
      </c>
      <c r="B20" t="s">
        <v>32</v>
      </c>
      <c r="C20">
        <v>1</v>
      </c>
      <c r="D20" t="s">
        <v>12</v>
      </c>
      <c r="E20" t="s">
        <v>135</v>
      </c>
      <c r="F20" t="s">
        <v>524</v>
      </c>
      <c r="G20" t="s">
        <v>61</v>
      </c>
      <c r="H20">
        <v>2</v>
      </c>
      <c r="K20">
        <v>1</v>
      </c>
      <c r="O20">
        <v>1</v>
      </c>
      <c r="Q20">
        <f t="shared" si="2"/>
        <v>1</v>
      </c>
      <c r="Y20">
        <v>1</v>
      </c>
    </row>
    <row r="21" spans="1:29" x14ac:dyDescent="0.3">
      <c r="A21" s="4" t="s">
        <v>30</v>
      </c>
      <c r="B21" t="s">
        <v>75</v>
      </c>
      <c r="C21">
        <v>1</v>
      </c>
      <c r="D21" t="s">
        <v>81</v>
      </c>
      <c r="E21" t="s">
        <v>131</v>
      </c>
      <c r="F21" t="s">
        <v>575</v>
      </c>
      <c r="G21" t="s">
        <v>537</v>
      </c>
      <c r="H21">
        <v>-6</v>
      </c>
      <c r="I21">
        <v>1</v>
      </c>
      <c r="M21">
        <v>1</v>
      </c>
      <c r="Q21">
        <f t="shared" si="2"/>
        <v>1</v>
      </c>
      <c r="T21">
        <v>1</v>
      </c>
    </row>
    <row r="22" spans="1:29" x14ac:dyDescent="0.3">
      <c r="A22" s="4" t="s">
        <v>30</v>
      </c>
      <c r="B22" t="s">
        <v>210</v>
      </c>
      <c r="C22">
        <v>1</v>
      </c>
      <c r="D22" t="s">
        <v>66</v>
      </c>
      <c r="E22" t="s">
        <v>139</v>
      </c>
      <c r="F22" t="s">
        <v>593</v>
      </c>
      <c r="H22">
        <v>3</v>
      </c>
      <c r="K22">
        <v>1</v>
      </c>
      <c r="Q22">
        <f t="shared" si="2"/>
        <v>1</v>
      </c>
      <c r="AC22">
        <v>1</v>
      </c>
    </row>
    <row r="23" spans="1:29" x14ac:dyDescent="0.3">
      <c r="A23" t="s">
        <v>33</v>
      </c>
      <c r="B23" t="s">
        <v>34</v>
      </c>
      <c r="C23">
        <v>2</v>
      </c>
      <c r="D23" t="s">
        <v>543</v>
      </c>
      <c r="E23" t="s">
        <v>132</v>
      </c>
      <c r="F23" t="s">
        <v>544</v>
      </c>
      <c r="H23">
        <v>0</v>
      </c>
      <c r="K23">
        <v>1</v>
      </c>
      <c r="Q23">
        <f t="shared" si="2"/>
        <v>1</v>
      </c>
      <c r="U23">
        <v>1</v>
      </c>
    </row>
    <row r="24" spans="1:29" x14ac:dyDescent="0.3">
      <c r="A24" s="3" t="s">
        <v>33</v>
      </c>
      <c r="B24" t="s">
        <v>83</v>
      </c>
      <c r="C24">
        <v>3</v>
      </c>
      <c r="D24" t="s">
        <v>514</v>
      </c>
      <c r="E24" t="s">
        <v>164</v>
      </c>
      <c r="F24" t="s">
        <v>538</v>
      </c>
      <c r="G24" t="s">
        <v>539</v>
      </c>
      <c r="H24">
        <v>-12</v>
      </c>
      <c r="I24">
        <v>1</v>
      </c>
      <c r="J24">
        <v>1</v>
      </c>
      <c r="Q24">
        <f t="shared" si="2"/>
        <v>1</v>
      </c>
      <c r="V24">
        <v>1</v>
      </c>
    </row>
    <row r="25" spans="1:29" x14ac:dyDescent="0.3">
      <c r="A25" s="4" t="s">
        <v>33</v>
      </c>
      <c r="B25" t="s">
        <v>199</v>
      </c>
      <c r="C25">
        <v>1</v>
      </c>
      <c r="D25" t="s">
        <v>514</v>
      </c>
      <c r="E25" t="s">
        <v>132</v>
      </c>
      <c r="F25" t="s">
        <v>540</v>
      </c>
      <c r="G25" t="s">
        <v>537</v>
      </c>
      <c r="H25">
        <v>-6</v>
      </c>
      <c r="I25">
        <v>1</v>
      </c>
      <c r="L25">
        <v>1</v>
      </c>
      <c r="Q25">
        <f t="shared" si="2"/>
        <v>1</v>
      </c>
      <c r="U25">
        <v>1</v>
      </c>
    </row>
    <row r="26" spans="1:29" x14ac:dyDescent="0.3">
      <c r="A26" s="4" t="s">
        <v>33</v>
      </c>
      <c r="B26" t="s">
        <v>64</v>
      </c>
      <c r="C26">
        <v>1</v>
      </c>
      <c r="D26" t="s">
        <v>514</v>
      </c>
      <c r="E26" t="s">
        <v>132</v>
      </c>
      <c r="F26" t="s">
        <v>545</v>
      </c>
      <c r="G26" t="s">
        <v>513</v>
      </c>
      <c r="H26">
        <v>-6</v>
      </c>
      <c r="I26">
        <v>1</v>
      </c>
      <c r="L26">
        <v>1</v>
      </c>
      <c r="Q26">
        <f t="shared" si="2"/>
        <v>1</v>
      </c>
      <c r="U26">
        <v>1</v>
      </c>
    </row>
    <row r="27" spans="1:29" x14ac:dyDescent="0.3">
      <c r="A27" s="4" t="s">
        <v>33</v>
      </c>
      <c r="B27" t="s">
        <v>70</v>
      </c>
      <c r="C27">
        <v>3</v>
      </c>
      <c r="D27" t="s">
        <v>66</v>
      </c>
      <c r="E27" t="s">
        <v>138</v>
      </c>
      <c r="F27" t="s">
        <v>480</v>
      </c>
      <c r="H27">
        <v>0</v>
      </c>
      <c r="K27">
        <v>1</v>
      </c>
      <c r="Q27">
        <f t="shared" si="2"/>
        <v>1</v>
      </c>
      <c r="AB27">
        <v>1</v>
      </c>
    </row>
    <row r="28" spans="1:29" x14ac:dyDescent="0.3">
      <c r="A28" t="s">
        <v>36</v>
      </c>
      <c r="B28" t="s">
        <v>36</v>
      </c>
      <c r="C28" t="s">
        <v>13</v>
      </c>
      <c r="D28" t="s">
        <v>23</v>
      </c>
      <c r="E28" t="s">
        <v>163</v>
      </c>
      <c r="F28" t="s">
        <v>542</v>
      </c>
      <c r="L28">
        <v>1</v>
      </c>
      <c r="Q28">
        <f t="shared" si="2"/>
        <v>1</v>
      </c>
      <c r="R28">
        <v>1</v>
      </c>
    </row>
    <row r="29" spans="1:29" x14ac:dyDescent="0.3">
      <c r="A29" s="3" t="s">
        <v>36</v>
      </c>
      <c r="B29" t="s">
        <v>37</v>
      </c>
      <c r="C29">
        <v>3</v>
      </c>
      <c r="D29" t="s">
        <v>514</v>
      </c>
      <c r="E29" t="s">
        <v>164</v>
      </c>
      <c r="F29" t="s">
        <v>547</v>
      </c>
      <c r="G29" t="s">
        <v>546</v>
      </c>
      <c r="H29">
        <v>-12</v>
      </c>
      <c r="I29">
        <v>1</v>
      </c>
      <c r="J29">
        <v>1</v>
      </c>
      <c r="Q29">
        <f t="shared" si="2"/>
        <v>1</v>
      </c>
      <c r="V29">
        <v>1</v>
      </c>
    </row>
    <row r="30" spans="1:29" ht="13.5" customHeight="1" x14ac:dyDescent="0.3">
      <c r="A30" s="4" t="s">
        <v>36</v>
      </c>
      <c r="B30" t="s">
        <v>38</v>
      </c>
      <c r="C30">
        <v>3</v>
      </c>
      <c r="D30" t="s">
        <v>543</v>
      </c>
      <c r="E30" t="s">
        <v>132</v>
      </c>
      <c r="F30" t="s">
        <v>550</v>
      </c>
      <c r="G30" t="s">
        <v>13</v>
      </c>
      <c r="H30">
        <v>-3</v>
      </c>
      <c r="L30">
        <v>1</v>
      </c>
      <c r="Q30">
        <f t="shared" si="2"/>
        <v>1</v>
      </c>
      <c r="U30">
        <v>1</v>
      </c>
    </row>
    <row r="31" spans="1:29" x14ac:dyDescent="0.3">
      <c r="A31" s="4" t="s">
        <v>36</v>
      </c>
      <c r="B31" t="s">
        <v>214</v>
      </c>
      <c r="C31">
        <v>2</v>
      </c>
      <c r="D31" t="s">
        <v>81</v>
      </c>
      <c r="E31" t="s">
        <v>135</v>
      </c>
      <c r="F31" t="s">
        <v>525</v>
      </c>
      <c r="G31" t="s">
        <v>205</v>
      </c>
      <c r="H31">
        <v>-9</v>
      </c>
      <c r="M31">
        <v>1</v>
      </c>
      <c r="N31">
        <v>1</v>
      </c>
      <c r="Q31">
        <f t="shared" si="2"/>
        <v>1</v>
      </c>
      <c r="Y31">
        <v>1</v>
      </c>
    </row>
    <row r="32" spans="1:29" x14ac:dyDescent="0.3">
      <c r="A32" t="s">
        <v>39</v>
      </c>
      <c r="B32" t="s">
        <v>158</v>
      </c>
      <c r="C32" t="s">
        <v>13</v>
      </c>
      <c r="D32" t="s">
        <v>23</v>
      </c>
      <c r="E32" t="s">
        <v>163</v>
      </c>
      <c r="F32" t="s">
        <v>551</v>
      </c>
      <c r="J32">
        <v>1</v>
      </c>
      <c r="Q32">
        <f t="shared" si="2"/>
        <v>1</v>
      </c>
      <c r="R32">
        <v>1</v>
      </c>
    </row>
    <row r="33" spans="1:33" x14ac:dyDescent="0.3">
      <c r="A33" s="3" t="s">
        <v>39</v>
      </c>
      <c r="B33" t="s">
        <v>40</v>
      </c>
      <c r="C33">
        <v>2</v>
      </c>
      <c r="D33" t="s">
        <v>514</v>
      </c>
      <c r="E33" t="s">
        <v>130</v>
      </c>
      <c r="F33" t="s">
        <v>552</v>
      </c>
      <c r="G33" t="s">
        <v>553</v>
      </c>
      <c r="H33">
        <v>-6</v>
      </c>
      <c r="I33">
        <v>1</v>
      </c>
      <c r="K33">
        <v>1</v>
      </c>
      <c r="Q33">
        <f t="shared" si="2"/>
        <v>1</v>
      </c>
      <c r="S33">
        <v>1</v>
      </c>
    </row>
    <row r="34" spans="1:33" x14ac:dyDescent="0.3">
      <c r="A34" s="4" t="s">
        <v>39</v>
      </c>
      <c r="B34" t="s">
        <v>41</v>
      </c>
      <c r="C34">
        <v>2</v>
      </c>
      <c r="D34" t="s">
        <v>514</v>
      </c>
      <c r="E34" t="s">
        <v>164</v>
      </c>
      <c r="F34" t="s">
        <v>554</v>
      </c>
      <c r="G34" t="s">
        <v>555</v>
      </c>
      <c r="H34">
        <v>-6</v>
      </c>
      <c r="I34">
        <v>1</v>
      </c>
      <c r="J34">
        <v>1</v>
      </c>
      <c r="Q34">
        <f t="shared" si="2"/>
        <v>1</v>
      </c>
      <c r="V34">
        <v>1</v>
      </c>
    </row>
    <row r="35" spans="1:33" x14ac:dyDescent="0.3">
      <c r="A35" s="4" t="s">
        <v>39</v>
      </c>
      <c r="B35" t="s">
        <v>646</v>
      </c>
      <c r="C35">
        <v>1</v>
      </c>
      <c r="D35" t="s">
        <v>43</v>
      </c>
      <c r="E35" t="s">
        <v>140</v>
      </c>
      <c r="F35" t="s">
        <v>556</v>
      </c>
      <c r="G35" t="s">
        <v>13</v>
      </c>
      <c r="H35">
        <v>0</v>
      </c>
      <c r="M35">
        <v>1</v>
      </c>
      <c r="Q35">
        <f t="shared" si="2"/>
        <v>1</v>
      </c>
      <c r="AD35">
        <v>1</v>
      </c>
    </row>
    <row r="36" spans="1:33" x14ac:dyDescent="0.3">
      <c r="A36" t="s">
        <v>44</v>
      </c>
      <c r="B36" t="s">
        <v>76</v>
      </c>
      <c r="C36" t="s">
        <v>13</v>
      </c>
      <c r="D36" t="s">
        <v>23</v>
      </c>
      <c r="E36" t="s">
        <v>163</v>
      </c>
      <c r="F36" t="s">
        <v>557</v>
      </c>
      <c r="M36">
        <v>1</v>
      </c>
      <c r="Q36">
        <f t="shared" si="2"/>
        <v>1</v>
      </c>
      <c r="R36">
        <v>1</v>
      </c>
    </row>
    <row r="37" spans="1:33" x14ac:dyDescent="0.3">
      <c r="A37" s="3" t="s">
        <v>44</v>
      </c>
      <c r="B37" t="s">
        <v>77</v>
      </c>
      <c r="C37">
        <v>1</v>
      </c>
      <c r="D37" t="s">
        <v>81</v>
      </c>
      <c r="E37" t="s">
        <v>131</v>
      </c>
      <c r="F37" t="s">
        <v>558</v>
      </c>
      <c r="G37" t="s">
        <v>513</v>
      </c>
      <c r="H37">
        <v>-6</v>
      </c>
      <c r="I37">
        <v>1</v>
      </c>
      <c r="M37">
        <v>1</v>
      </c>
      <c r="Q37">
        <f t="shared" si="2"/>
        <v>1</v>
      </c>
      <c r="T37">
        <v>1</v>
      </c>
    </row>
    <row r="38" spans="1:33" x14ac:dyDescent="0.3">
      <c r="A38" s="4" t="s">
        <v>44</v>
      </c>
      <c r="B38" t="s">
        <v>149</v>
      </c>
      <c r="C38">
        <v>2</v>
      </c>
      <c r="D38" t="s">
        <v>12</v>
      </c>
      <c r="E38" t="s">
        <v>133</v>
      </c>
      <c r="F38" t="s">
        <v>559</v>
      </c>
      <c r="G38" t="s">
        <v>205</v>
      </c>
      <c r="H38">
        <v>-9</v>
      </c>
      <c r="K38">
        <v>1</v>
      </c>
      <c r="Q38">
        <f t="shared" si="2"/>
        <v>1</v>
      </c>
      <c r="W38">
        <v>1</v>
      </c>
    </row>
    <row r="39" spans="1:33" x14ac:dyDescent="0.3">
      <c r="A39" s="4" t="s">
        <v>44</v>
      </c>
      <c r="B39" t="s">
        <v>207</v>
      </c>
      <c r="C39">
        <v>0</v>
      </c>
      <c r="D39" t="s">
        <v>66</v>
      </c>
      <c r="E39" t="s">
        <v>138</v>
      </c>
      <c r="F39" t="s">
        <v>560</v>
      </c>
      <c r="H39">
        <v>0</v>
      </c>
      <c r="L39">
        <v>1</v>
      </c>
      <c r="Q39">
        <f t="shared" si="2"/>
        <v>1</v>
      </c>
      <c r="AB39">
        <v>1</v>
      </c>
    </row>
    <row r="40" spans="1:33" x14ac:dyDescent="0.3">
      <c r="A40" t="s">
        <v>45</v>
      </c>
      <c r="B40" t="s">
        <v>45</v>
      </c>
      <c r="C40" t="s">
        <v>13</v>
      </c>
      <c r="D40" t="s">
        <v>23</v>
      </c>
      <c r="E40" t="s">
        <v>163</v>
      </c>
      <c r="F40" t="s">
        <v>561</v>
      </c>
      <c r="J40">
        <v>1</v>
      </c>
      <c r="Q40">
        <f t="shared" si="2"/>
        <v>1</v>
      </c>
      <c r="R40">
        <v>1</v>
      </c>
    </row>
    <row r="41" spans="1:33" x14ac:dyDescent="0.3">
      <c r="A41" s="3" t="s">
        <v>45</v>
      </c>
      <c r="B41" t="s">
        <v>46</v>
      </c>
      <c r="C41">
        <v>1</v>
      </c>
      <c r="D41" t="s">
        <v>43</v>
      </c>
      <c r="E41" t="s">
        <v>139</v>
      </c>
      <c r="F41" t="s">
        <v>288</v>
      </c>
      <c r="G41" t="s">
        <v>562</v>
      </c>
      <c r="H41">
        <v>8</v>
      </c>
      <c r="L41">
        <v>1</v>
      </c>
      <c r="N41">
        <v>1</v>
      </c>
      <c r="Q41">
        <f t="shared" si="2"/>
        <v>1</v>
      </c>
      <c r="AC41">
        <v>1</v>
      </c>
    </row>
    <row r="42" spans="1:33" x14ac:dyDescent="0.3">
      <c r="A42" s="4" t="s">
        <v>45</v>
      </c>
      <c r="B42" t="s">
        <v>47</v>
      </c>
      <c r="C42">
        <v>3</v>
      </c>
      <c r="D42" t="s">
        <v>12</v>
      </c>
      <c r="E42" t="s">
        <v>133</v>
      </c>
      <c r="F42" t="s">
        <v>563</v>
      </c>
      <c r="G42" t="s">
        <v>396</v>
      </c>
      <c r="H42">
        <v>-12</v>
      </c>
      <c r="K42">
        <v>1</v>
      </c>
      <c r="Q42">
        <f t="shared" si="2"/>
        <v>1</v>
      </c>
      <c r="W42">
        <v>1</v>
      </c>
    </row>
    <row r="43" spans="1:33" x14ac:dyDescent="0.3">
      <c r="A43" s="4" t="s">
        <v>45</v>
      </c>
      <c r="B43" t="s">
        <v>145</v>
      </c>
      <c r="C43">
        <v>2</v>
      </c>
      <c r="D43" t="s">
        <v>81</v>
      </c>
      <c r="E43" t="s">
        <v>130</v>
      </c>
      <c r="F43" t="s">
        <v>564</v>
      </c>
      <c r="G43" t="s">
        <v>553</v>
      </c>
      <c r="H43">
        <v>-9</v>
      </c>
      <c r="I43">
        <v>1</v>
      </c>
      <c r="K43">
        <v>1</v>
      </c>
      <c r="Q43">
        <f t="shared" si="2"/>
        <v>1</v>
      </c>
      <c r="S43">
        <v>1</v>
      </c>
    </row>
    <row r="44" spans="1:33" x14ac:dyDescent="0.3">
      <c r="A44" t="s">
        <v>48</v>
      </c>
      <c r="B44" t="s">
        <v>159</v>
      </c>
      <c r="C44" t="s">
        <v>13</v>
      </c>
      <c r="D44" t="s">
        <v>23</v>
      </c>
      <c r="E44" t="s">
        <v>163</v>
      </c>
      <c r="F44" t="s">
        <v>566</v>
      </c>
      <c r="L44">
        <v>1</v>
      </c>
      <c r="Q44">
        <f t="shared" si="2"/>
        <v>1</v>
      </c>
      <c r="R44">
        <v>1</v>
      </c>
    </row>
    <row r="45" spans="1:33" x14ac:dyDescent="0.3">
      <c r="A45" s="3" t="s">
        <v>48</v>
      </c>
      <c r="B45" t="s">
        <v>49</v>
      </c>
      <c r="C45">
        <v>1</v>
      </c>
      <c r="D45" t="s">
        <v>43</v>
      </c>
      <c r="E45" t="s">
        <v>140</v>
      </c>
      <c r="F45" t="s">
        <v>565</v>
      </c>
      <c r="H45">
        <v>0</v>
      </c>
      <c r="M45">
        <v>1</v>
      </c>
      <c r="Q45">
        <f t="shared" si="2"/>
        <v>1</v>
      </c>
      <c r="AD45">
        <v>1</v>
      </c>
    </row>
    <row r="46" spans="1:33" x14ac:dyDescent="0.3">
      <c r="A46" s="4" t="s">
        <v>48</v>
      </c>
      <c r="B46" t="s">
        <v>50</v>
      </c>
      <c r="C46">
        <v>2</v>
      </c>
      <c r="D46" t="s">
        <v>514</v>
      </c>
      <c r="E46" t="s">
        <v>130</v>
      </c>
      <c r="F46" t="s">
        <v>567</v>
      </c>
      <c r="G46" t="s">
        <v>553</v>
      </c>
      <c r="H46">
        <v>-9</v>
      </c>
      <c r="I46">
        <v>1</v>
      </c>
      <c r="K46">
        <v>1</v>
      </c>
      <c r="Q46">
        <f t="shared" si="2"/>
        <v>1</v>
      </c>
      <c r="S46">
        <v>1</v>
      </c>
    </row>
    <row r="47" spans="1:33" x14ac:dyDescent="0.3">
      <c r="A47" s="4" t="s">
        <v>48</v>
      </c>
      <c r="B47" t="s">
        <v>129</v>
      </c>
      <c r="C47">
        <v>1</v>
      </c>
      <c r="D47" t="s">
        <v>66</v>
      </c>
      <c r="E47" t="s">
        <v>165</v>
      </c>
      <c r="F47" t="s">
        <v>568</v>
      </c>
      <c r="H47">
        <v>1</v>
      </c>
      <c r="L47">
        <v>1</v>
      </c>
      <c r="N47">
        <v>1</v>
      </c>
      <c r="P47">
        <v>1</v>
      </c>
      <c r="Q47">
        <f t="shared" si="2"/>
        <v>1</v>
      </c>
      <c r="AG47">
        <v>1</v>
      </c>
    </row>
    <row r="48" spans="1:33" x14ac:dyDescent="0.3">
      <c r="A48" t="s">
        <v>51</v>
      </c>
      <c r="B48" t="s">
        <v>51</v>
      </c>
      <c r="C48" t="s">
        <v>13</v>
      </c>
      <c r="D48" t="s">
        <v>23</v>
      </c>
      <c r="E48" t="s">
        <v>163</v>
      </c>
      <c r="F48" t="s">
        <v>582</v>
      </c>
      <c r="K48">
        <v>1</v>
      </c>
      <c r="Q48">
        <f t="shared" si="2"/>
        <v>1</v>
      </c>
      <c r="R48">
        <v>1</v>
      </c>
    </row>
    <row r="49" spans="1:37" x14ac:dyDescent="0.3">
      <c r="A49" s="3" t="s">
        <v>51</v>
      </c>
      <c r="B49" t="s">
        <v>52</v>
      </c>
      <c r="C49">
        <v>3</v>
      </c>
      <c r="D49" t="s">
        <v>514</v>
      </c>
      <c r="E49" t="s">
        <v>130</v>
      </c>
      <c r="F49" t="s">
        <v>573</v>
      </c>
      <c r="G49" t="s">
        <v>572</v>
      </c>
      <c r="H49">
        <v>-12</v>
      </c>
      <c r="I49">
        <v>1</v>
      </c>
      <c r="K49">
        <v>1</v>
      </c>
      <c r="Q49">
        <f t="shared" si="2"/>
        <v>1</v>
      </c>
      <c r="S49">
        <v>1</v>
      </c>
    </row>
    <row r="50" spans="1:37" x14ac:dyDescent="0.3">
      <c r="A50" s="4" t="s">
        <v>51</v>
      </c>
      <c r="B50" t="s">
        <v>53</v>
      </c>
      <c r="C50">
        <v>1</v>
      </c>
      <c r="D50" t="s">
        <v>543</v>
      </c>
      <c r="E50" t="s">
        <v>131</v>
      </c>
      <c r="F50" t="s">
        <v>571</v>
      </c>
      <c r="G50" t="s">
        <v>13</v>
      </c>
      <c r="H50">
        <v>0</v>
      </c>
      <c r="M50">
        <v>1</v>
      </c>
      <c r="Q50">
        <f t="shared" si="2"/>
        <v>1</v>
      </c>
      <c r="T50">
        <v>1</v>
      </c>
    </row>
    <row r="51" spans="1:37" x14ac:dyDescent="0.3">
      <c r="A51" s="4" t="s">
        <v>51</v>
      </c>
      <c r="B51" t="s">
        <v>54</v>
      </c>
      <c r="C51">
        <v>2</v>
      </c>
      <c r="D51" t="s">
        <v>12</v>
      </c>
      <c r="E51" t="s">
        <v>133</v>
      </c>
      <c r="F51" t="s">
        <v>526</v>
      </c>
      <c r="G51" t="s">
        <v>389</v>
      </c>
      <c r="H51">
        <v>-9</v>
      </c>
      <c r="L51">
        <v>1</v>
      </c>
      <c r="N51">
        <v>1</v>
      </c>
      <c r="P51">
        <v>1</v>
      </c>
      <c r="Q51">
        <f t="shared" si="2"/>
        <v>1</v>
      </c>
      <c r="W51">
        <v>1</v>
      </c>
    </row>
    <row r="52" spans="1:37" x14ac:dyDescent="0.3">
      <c r="A52" t="s">
        <v>55</v>
      </c>
      <c r="B52" t="s">
        <v>55</v>
      </c>
      <c r="C52" t="s">
        <v>13</v>
      </c>
      <c r="D52" t="s">
        <v>23</v>
      </c>
      <c r="E52" t="s">
        <v>163</v>
      </c>
      <c r="F52" t="s">
        <v>569</v>
      </c>
      <c r="K52">
        <v>1</v>
      </c>
      <c r="Q52">
        <f t="shared" si="2"/>
        <v>1</v>
      </c>
      <c r="R52">
        <v>1</v>
      </c>
    </row>
    <row r="53" spans="1:37" x14ac:dyDescent="0.3">
      <c r="A53" s="3" t="s">
        <v>55</v>
      </c>
      <c r="B53" t="s">
        <v>56</v>
      </c>
      <c r="C53">
        <v>2</v>
      </c>
      <c r="D53" t="s">
        <v>66</v>
      </c>
      <c r="E53" t="s">
        <v>138</v>
      </c>
      <c r="F53" t="s">
        <v>570</v>
      </c>
      <c r="H53">
        <v>0</v>
      </c>
      <c r="K53">
        <v>1</v>
      </c>
      <c r="N53">
        <v>1</v>
      </c>
      <c r="Q53">
        <f t="shared" si="2"/>
        <v>1</v>
      </c>
      <c r="AB53">
        <v>1</v>
      </c>
    </row>
    <row r="54" spans="1:37" x14ac:dyDescent="0.3">
      <c r="A54" s="4" t="s">
        <v>55</v>
      </c>
      <c r="B54" t="s">
        <v>57</v>
      </c>
      <c r="C54">
        <v>1</v>
      </c>
      <c r="D54" t="s">
        <v>514</v>
      </c>
      <c r="E54" t="s">
        <v>132</v>
      </c>
      <c r="F54" t="s">
        <v>574</v>
      </c>
      <c r="G54" t="s">
        <v>513</v>
      </c>
      <c r="H54">
        <v>-6</v>
      </c>
      <c r="I54">
        <v>1</v>
      </c>
      <c r="L54">
        <v>1</v>
      </c>
      <c r="Q54">
        <f t="shared" si="2"/>
        <v>1</v>
      </c>
      <c r="U54">
        <v>1</v>
      </c>
    </row>
    <row r="55" spans="1:37" x14ac:dyDescent="0.3">
      <c r="A55" s="4" t="s">
        <v>55</v>
      </c>
      <c r="B55" t="s">
        <v>65</v>
      </c>
      <c r="C55">
        <v>3</v>
      </c>
      <c r="D55" t="s">
        <v>66</v>
      </c>
      <c r="E55" t="s">
        <v>138</v>
      </c>
      <c r="F55" t="s">
        <v>596</v>
      </c>
      <c r="H55">
        <v>1</v>
      </c>
      <c r="K55">
        <v>1</v>
      </c>
      <c r="N55">
        <v>1</v>
      </c>
      <c r="Q55">
        <f t="shared" si="2"/>
        <v>1</v>
      </c>
      <c r="AB55">
        <v>1</v>
      </c>
    </row>
    <row r="56" spans="1:37" x14ac:dyDescent="0.3">
      <c r="A56" t="s">
        <v>332</v>
      </c>
      <c r="B56" t="s">
        <v>332</v>
      </c>
      <c r="C56" t="s">
        <v>13</v>
      </c>
      <c r="D56" t="s">
        <v>23</v>
      </c>
      <c r="E56" t="s">
        <v>163</v>
      </c>
      <c r="F56" t="s">
        <v>541</v>
      </c>
      <c r="M56">
        <v>1</v>
      </c>
      <c r="Q56">
        <f t="shared" si="2"/>
        <v>1</v>
      </c>
      <c r="R56">
        <v>1</v>
      </c>
    </row>
    <row r="57" spans="1:37" x14ac:dyDescent="0.3">
      <c r="A57" s="3" t="s">
        <v>332</v>
      </c>
      <c r="B57" t="s">
        <v>96</v>
      </c>
      <c r="C57">
        <v>2</v>
      </c>
      <c r="D57" t="s">
        <v>66</v>
      </c>
      <c r="E57" t="s">
        <v>143</v>
      </c>
      <c r="F57" t="s">
        <v>97</v>
      </c>
      <c r="H57">
        <v>0</v>
      </c>
      <c r="M57">
        <v>1</v>
      </c>
      <c r="Q57">
        <f t="shared" si="2"/>
        <v>1</v>
      </c>
      <c r="AE57">
        <v>1</v>
      </c>
    </row>
    <row r="58" spans="1:37" x14ac:dyDescent="0.3">
      <c r="A58" s="4" t="s">
        <v>332</v>
      </c>
      <c r="B58" t="s">
        <v>100</v>
      </c>
      <c r="C58">
        <v>2</v>
      </c>
      <c r="D58" t="s">
        <v>81</v>
      </c>
      <c r="E58" t="s">
        <v>133</v>
      </c>
      <c r="F58" t="s">
        <v>576</v>
      </c>
      <c r="G58" t="s">
        <v>205</v>
      </c>
      <c r="H58">
        <v>-9</v>
      </c>
      <c r="M58">
        <v>1</v>
      </c>
      <c r="Q58">
        <f t="shared" si="2"/>
        <v>1</v>
      </c>
      <c r="W58">
        <v>1</v>
      </c>
    </row>
    <row r="59" spans="1:37" x14ac:dyDescent="0.3">
      <c r="A59" s="4" t="s">
        <v>332</v>
      </c>
      <c r="B59" t="s">
        <v>98</v>
      </c>
      <c r="C59">
        <v>1</v>
      </c>
      <c r="D59" t="s">
        <v>81</v>
      </c>
      <c r="E59" t="s">
        <v>130</v>
      </c>
      <c r="F59" t="s">
        <v>577</v>
      </c>
      <c r="G59" t="s">
        <v>513</v>
      </c>
      <c r="H59">
        <v>-6</v>
      </c>
      <c r="I59">
        <v>1</v>
      </c>
      <c r="K59">
        <v>1</v>
      </c>
      <c r="Q59">
        <f t="shared" si="2"/>
        <v>1</v>
      </c>
      <c r="S59">
        <v>1</v>
      </c>
    </row>
    <row r="60" spans="1:37" x14ac:dyDescent="0.3">
      <c r="A60" t="s">
        <v>330</v>
      </c>
      <c r="B60" t="s">
        <v>327</v>
      </c>
      <c r="C60">
        <v>0</v>
      </c>
      <c r="D60" t="s">
        <v>43</v>
      </c>
      <c r="E60" t="s">
        <v>141</v>
      </c>
      <c r="F60" t="s">
        <v>509</v>
      </c>
      <c r="H60">
        <v>0</v>
      </c>
      <c r="Q60">
        <f t="shared" si="2"/>
        <v>1</v>
      </c>
      <c r="AF60">
        <v>1</v>
      </c>
    </row>
    <row r="61" spans="1:37" x14ac:dyDescent="0.3">
      <c r="A61" s="3" t="s">
        <v>330</v>
      </c>
      <c r="B61" t="s">
        <v>58</v>
      </c>
      <c r="C61">
        <v>0</v>
      </c>
      <c r="D61" t="s">
        <v>43</v>
      </c>
      <c r="E61" t="s">
        <v>141</v>
      </c>
      <c r="F61" t="s">
        <v>333</v>
      </c>
      <c r="H61">
        <v>0</v>
      </c>
      <c r="Q61">
        <f t="shared" si="2"/>
        <v>1</v>
      </c>
      <c r="AF61">
        <v>1</v>
      </c>
    </row>
    <row r="62" spans="1:37" x14ac:dyDescent="0.3">
      <c r="A62" s="3" t="s">
        <v>330</v>
      </c>
      <c r="B62" t="s">
        <v>59</v>
      </c>
      <c r="C62">
        <v>0</v>
      </c>
      <c r="D62" t="s">
        <v>43</v>
      </c>
      <c r="E62" t="s">
        <v>141</v>
      </c>
      <c r="F62" t="s">
        <v>213</v>
      </c>
      <c r="H62">
        <v>0</v>
      </c>
      <c r="Q62">
        <f t="shared" si="2"/>
        <v>1</v>
      </c>
      <c r="AF62">
        <v>1</v>
      </c>
    </row>
    <row r="63" spans="1:37" x14ac:dyDescent="0.3">
      <c r="A63" s="3" t="s">
        <v>330</v>
      </c>
      <c r="B63" t="s">
        <v>354</v>
      </c>
      <c r="C63">
        <v>0</v>
      </c>
      <c r="D63" t="s">
        <v>66</v>
      </c>
      <c r="E63" t="s">
        <v>141</v>
      </c>
      <c r="F63" t="s">
        <v>478</v>
      </c>
      <c r="H63">
        <v>0</v>
      </c>
      <c r="Q63">
        <f t="shared" si="2"/>
        <v>1</v>
      </c>
      <c r="AF63">
        <v>1</v>
      </c>
      <c r="AK63">
        <v>1</v>
      </c>
    </row>
    <row r="64" spans="1:37" x14ac:dyDescent="0.3">
      <c r="A64" s="3" t="s">
        <v>330</v>
      </c>
      <c r="B64" t="s">
        <v>347</v>
      </c>
      <c r="C64">
        <v>0</v>
      </c>
      <c r="D64" t="s">
        <v>66</v>
      </c>
      <c r="E64" t="s">
        <v>141</v>
      </c>
      <c r="F64" t="s">
        <v>436</v>
      </c>
      <c r="H64">
        <v>0</v>
      </c>
      <c r="Q64">
        <f t="shared" si="2"/>
        <v>1</v>
      </c>
      <c r="AF64">
        <v>1</v>
      </c>
    </row>
    <row r="65" spans="1:38" x14ac:dyDescent="0.3">
      <c r="A65" s="3" t="s">
        <v>330</v>
      </c>
      <c r="B65" t="s">
        <v>355</v>
      </c>
      <c r="C65">
        <v>0</v>
      </c>
      <c r="D65" t="s">
        <v>66</v>
      </c>
      <c r="E65" t="s">
        <v>141</v>
      </c>
      <c r="F65" t="s">
        <v>485</v>
      </c>
      <c r="H65">
        <v>0</v>
      </c>
      <c r="Q65">
        <f t="shared" si="2"/>
        <v>1</v>
      </c>
      <c r="AF65">
        <v>1</v>
      </c>
      <c r="AJ65">
        <v>1</v>
      </c>
      <c r="AK65">
        <v>1</v>
      </c>
    </row>
    <row r="66" spans="1:38" x14ac:dyDescent="0.3">
      <c r="A66" s="3" t="s">
        <v>330</v>
      </c>
      <c r="B66" t="s">
        <v>60</v>
      </c>
      <c r="C66">
        <v>1</v>
      </c>
      <c r="D66" t="s">
        <v>43</v>
      </c>
      <c r="E66" t="s">
        <v>139</v>
      </c>
      <c r="F66" t="s">
        <v>285</v>
      </c>
      <c r="H66">
        <v>7</v>
      </c>
      <c r="L66">
        <v>1</v>
      </c>
      <c r="Q66">
        <f t="shared" si="2"/>
        <v>1</v>
      </c>
      <c r="AC66">
        <v>1</v>
      </c>
    </row>
    <row r="67" spans="1:38" x14ac:dyDescent="0.3">
      <c r="A67" s="3" t="s">
        <v>330</v>
      </c>
      <c r="B67" t="s">
        <v>85</v>
      </c>
      <c r="C67">
        <v>3</v>
      </c>
      <c r="D67" t="s">
        <v>66</v>
      </c>
      <c r="E67" t="s">
        <v>139</v>
      </c>
      <c r="F67" t="s">
        <v>594</v>
      </c>
      <c r="H67">
        <v>6</v>
      </c>
      <c r="K67">
        <v>1</v>
      </c>
      <c r="Q67">
        <f t="shared" si="2"/>
        <v>1</v>
      </c>
      <c r="AC67">
        <v>1</v>
      </c>
    </row>
    <row r="68" spans="1:38" x14ac:dyDescent="0.3">
      <c r="A68" s="3" t="s">
        <v>330</v>
      </c>
      <c r="B68" t="s">
        <v>86</v>
      </c>
      <c r="C68">
        <v>3</v>
      </c>
      <c r="D68" t="s">
        <v>66</v>
      </c>
      <c r="E68" t="s">
        <v>139</v>
      </c>
      <c r="F68" t="s">
        <v>595</v>
      </c>
      <c r="H68">
        <v>6</v>
      </c>
      <c r="K68">
        <v>1</v>
      </c>
      <c r="Q68">
        <f t="shared" ref="Q68:Q135" si="3">SUM(R68:AH68)</f>
        <v>1</v>
      </c>
      <c r="AC68">
        <v>1</v>
      </c>
    </row>
    <row r="69" spans="1:38" x14ac:dyDescent="0.3">
      <c r="A69" s="3" t="s">
        <v>330</v>
      </c>
      <c r="B69" t="s">
        <v>102</v>
      </c>
      <c r="C69">
        <v>1</v>
      </c>
      <c r="D69" t="s">
        <v>66</v>
      </c>
      <c r="E69" t="s">
        <v>139</v>
      </c>
      <c r="F69" t="s">
        <v>454</v>
      </c>
      <c r="H69">
        <v>5</v>
      </c>
      <c r="L69">
        <v>1</v>
      </c>
      <c r="N69">
        <v>1</v>
      </c>
      <c r="P69">
        <v>1</v>
      </c>
      <c r="Q69">
        <f t="shared" si="3"/>
        <v>1</v>
      </c>
      <c r="AC69">
        <v>1</v>
      </c>
    </row>
    <row r="70" spans="1:38" x14ac:dyDescent="0.3">
      <c r="A70" s="3" t="s">
        <v>330</v>
      </c>
      <c r="B70" t="s">
        <v>267</v>
      </c>
      <c r="C70">
        <v>2</v>
      </c>
      <c r="D70" t="s">
        <v>66</v>
      </c>
      <c r="E70" t="s">
        <v>139</v>
      </c>
      <c r="F70" t="s">
        <v>583</v>
      </c>
      <c r="H70">
        <v>5</v>
      </c>
      <c r="J70">
        <v>1</v>
      </c>
      <c r="Q70">
        <f t="shared" si="3"/>
        <v>1</v>
      </c>
      <c r="AC70">
        <v>1</v>
      </c>
      <c r="AJ70">
        <v>1</v>
      </c>
    </row>
    <row r="71" spans="1:38" x14ac:dyDescent="0.3">
      <c r="A71" s="3" t="s">
        <v>330</v>
      </c>
      <c r="B71" t="s">
        <v>269</v>
      </c>
      <c r="C71">
        <v>3</v>
      </c>
      <c r="D71" t="s">
        <v>66</v>
      </c>
      <c r="E71" t="s">
        <v>139</v>
      </c>
      <c r="F71" t="s">
        <v>584</v>
      </c>
      <c r="H71">
        <v>14</v>
      </c>
      <c r="J71">
        <v>1</v>
      </c>
      <c r="Q71">
        <f t="shared" si="3"/>
        <v>1</v>
      </c>
      <c r="AC71">
        <v>1</v>
      </c>
    </row>
    <row r="72" spans="1:38" x14ac:dyDescent="0.3">
      <c r="A72" s="3" t="s">
        <v>330</v>
      </c>
      <c r="B72" t="s">
        <v>71</v>
      </c>
      <c r="C72">
        <v>1</v>
      </c>
      <c r="D72" t="s">
        <v>81</v>
      </c>
      <c r="E72" t="s">
        <v>130</v>
      </c>
      <c r="F72" t="s">
        <v>588</v>
      </c>
      <c r="G72" t="s">
        <v>513</v>
      </c>
      <c r="H72">
        <v>-6</v>
      </c>
      <c r="I72">
        <v>1</v>
      </c>
      <c r="K72">
        <v>1</v>
      </c>
      <c r="Q72">
        <f t="shared" si="3"/>
        <v>1</v>
      </c>
      <c r="S72">
        <v>1</v>
      </c>
    </row>
    <row r="73" spans="1:38" x14ac:dyDescent="0.3">
      <c r="A73" s="3" t="s">
        <v>330</v>
      </c>
      <c r="B73" t="s">
        <v>144</v>
      </c>
      <c r="C73">
        <v>2</v>
      </c>
      <c r="D73" t="s">
        <v>81</v>
      </c>
      <c r="E73" t="s">
        <v>130</v>
      </c>
      <c r="F73" t="s">
        <v>586</v>
      </c>
      <c r="G73" t="s">
        <v>587</v>
      </c>
      <c r="H73">
        <v>-9</v>
      </c>
      <c r="I73">
        <v>1</v>
      </c>
      <c r="K73">
        <v>1</v>
      </c>
      <c r="Q73">
        <f t="shared" si="3"/>
        <v>1</v>
      </c>
      <c r="S73">
        <v>1</v>
      </c>
    </row>
    <row r="74" spans="1:38" x14ac:dyDescent="0.3">
      <c r="A74" s="3" t="s">
        <v>330</v>
      </c>
      <c r="B74" t="s">
        <v>146</v>
      </c>
      <c r="C74">
        <v>3</v>
      </c>
      <c r="D74" t="s">
        <v>12</v>
      </c>
      <c r="E74" t="s">
        <v>130</v>
      </c>
      <c r="F74" t="s">
        <v>590</v>
      </c>
      <c r="G74" t="s">
        <v>589</v>
      </c>
      <c r="H74">
        <v>-12</v>
      </c>
      <c r="I74">
        <v>1</v>
      </c>
      <c r="K74">
        <v>1</v>
      </c>
      <c r="Q74">
        <f t="shared" si="3"/>
        <v>1</v>
      </c>
      <c r="S74">
        <v>1</v>
      </c>
    </row>
    <row r="75" spans="1:38" x14ac:dyDescent="0.3">
      <c r="A75" s="3" t="s">
        <v>330</v>
      </c>
      <c r="B75" t="s">
        <v>72</v>
      </c>
      <c r="C75">
        <v>3</v>
      </c>
      <c r="D75" t="s">
        <v>66</v>
      </c>
      <c r="E75" t="s">
        <v>136</v>
      </c>
      <c r="F75" t="s">
        <v>348</v>
      </c>
      <c r="H75">
        <v>3</v>
      </c>
      <c r="J75">
        <v>1</v>
      </c>
      <c r="Q75">
        <f t="shared" si="3"/>
        <v>1</v>
      </c>
      <c r="Z75">
        <v>1</v>
      </c>
      <c r="AK75">
        <v>1</v>
      </c>
    </row>
    <row r="76" spans="1:38" x14ac:dyDescent="0.3">
      <c r="A76" s="3" t="s">
        <v>330</v>
      </c>
      <c r="B76" t="s">
        <v>73</v>
      </c>
      <c r="C76">
        <v>3</v>
      </c>
      <c r="D76" t="s">
        <v>66</v>
      </c>
      <c r="E76" t="s">
        <v>136</v>
      </c>
      <c r="F76" t="s">
        <v>349</v>
      </c>
      <c r="H76">
        <v>3</v>
      </c>
      <c r="J76">
        <v>1</v>
      </c>
      <c r="Q76">
        <f t="shared" si="3"/>
        <v>1</v>
      </c>
      <c r="Z76">
        <v>1</v>
      </c>
      <c r="AJ76">
        <v>1</v>
      </c>
    </row>
    <row r="77" spans="1:38" x14ac:dyDescent="0.3">
      <c r="A77" s="3" t="s">
        <v>330</v>
      </c>
      <c r="B77" t="s">
        <v>84</v>
      </c>
      <c r="C77">
        <v>3</v>
      </c>
      <c r="D77" t="s">
        <v>66</v>
      </c>
      <c r="E77" t="s">
        <v>136</v>
      </c>
      <c r="F77" t="s">
        <v>591</v>
      </c>
      <c r="H77">
        <v>5</v>
      </c>
      <c r="J77">
        <v>1</v>
      </c>
      <c r="Q77">
        <f t="shared" si="3"/>
        <v>1</v>
      </c>
      <c r="Z77">
        <v>1</v>
      </c>
    </row>
    <row r="78" spans="1:38" x14ac:dyDescent="0.3">
      <c r="A78" s="3" t="s">
        <v>330</v>
      </c>
      <c r="B78" t="s">
        <v>92</v>
      </c>
      <c r="C78">
        <v>0</v>
      </c>
      <c r="D78" t="s">
        <v>66</v>
      </c>
      <c r="E78" t="s">
        <v>136</v>
      </c>
      <c r="F78" t="s">
        <v>93</v>
      </c>
      <c r="H78">
        <v>2</v>
      </c>
      <c r="L78">
        <v>1</v>
      </c>
      <c r="N78">
        <v>1</v>
      </c>
      <c r="Q78">
        <f t="shared" si="3"/>
        <v>1</v>
      </c>
      <c r="Z78">
        <v>1</v>
      </c>
    </row>
    <row r="79" spans="1:38" x14ac:dyDescent="0.3">
      <c r="A79" s="3" t="s">
        <v>330</v>
      </c>
      <c r="B79" t="s">
        <v>238</v>
      </c>
      <c r="C79">
        <v>3</v>
      </c>
      <c r="D79" t="s">
        <v>66</v>
      </c>
      <c r="E79" t="s">
        <v>136</v>
      </c>
      <c r="F79" t="s">
        <v>432</v>
      </c>
      <c r="H79">
        <v>7</v>
      </c>
      <c r="J79">
        <v>1</v>
      </c>
      <c r="Q79">
        <f t="shared" si="3"/>
        <v>1</v>
      </c>
      <c r="Z79">
        <v>1</v>
      </c>
    </row>
    <row r="80" spans="1:38" x14ac:dyDescent="0.3">
      <c r="A80" s="3" t="s">
        <v>330</v>
      </c>
      <c r="B80" t="s">
        <v>223</v>
      </c>
      <c r="C80">
        <v>1</v>
      </c>
      <c r="D80" t="s">
        <v>81</v>
      </c>
      <c r="E80" t="s">
        <v>134</v>
      </c>
      <c r="F80" t="s">
        <v>527</v>
      </c>
      <c r="G80" t="s">
        <v>82</v>
      </c>
      <c r="H80">
        <v>-6</v>
      </c>
      <c r="J80">
        <v>1</v>
      </c>
      <c r="Q80">
        <f t="shared" si="3"/>
        <v>1</v>
      </c>
      <c r="X80">
        <v>1</v>
      </c>
      <c r="AL80">
        <v>1</v>
      </c>
    </row>
    <row r="81" spans="1:38" x14ac:dyDescent="0.3">
      <c r="A81" s="3" t="s">
        <v>330</v>
      </c>
      <c r="B81" t="s">
        <v>225</v>
      </c>
      <c r="C81">
        <v>3</v>
      </c>
      <c r="D81" t="s">
        <v>81</v>
      </c>
      <c r="E81" t="s">
        <v>134</v>
      </c>
      <c r="F81" t="s">
        <v>632</v>
      </c>
      <c r="G81" t="s">
        <v>374</v>
      </c>
      <c r="H81">
        <v>-9</v>
      </c>
      <c r="M81">
        <v>1</v>
      </c>
      <c r="Q81">
        <f t="shared" si="3"/>
        <v>1</v>
      </c>
      <c r="X81">
        <v>1</v>
      </c>
    </row>
    <row r="82" spans="1:38" x14ac:dyDescent="0.3">
      <c r="A82" s="3" t="s">
        <v>330</v>
      </c>
      <c r="B82" t="s">
        <v>128</v>
      </c>
      <c r="C82">
        <v>1</v>
      </c>
      <c r="D82" t="s">
        <v>81</v>
      </c>
      <c r="E82" t="s">
        <v>134</v>
      </c>
      <c r="F82" t="s">
        <v>528</v>
      </c>
      <c r="G82" t="s">
        <v>82</v>
      </c>
      <c r="H82">
        <v>-6</v>
      </c>
      <c r="J82">
        <v>1</v>
      </c>
      <c r="Q82">
        <f t="shared" si="3"/>
        <v>1</v>
      </c>
      <c r="X82">
        <v>1</v>
      </c>
      <c r="AL82">
        <v>1</v>
      </c>
    </row>
    <row r="83" spans="1:38" x14ac:dyDescent="0.3">
      <c r="A83" s="3" t="s">
        <v>330</v>
      </c>
      <c r="B83" t="s">
        <v>630</v>
      </c>
      <c r="C83">
        <v>3</v>
      </c>
      <c r="D83" t="s">
        <v>12</v>
      </c>
      <c r="E83" t="s">
        <v>134</v>
      </c>
      <c r="F83" t="s">
        <v>635</v>
      </c>
      <c r="G83" t="s">
        <v>374</v>
      </c>
      <c r="H83">
        <v>-12</v>
      </c>
      <c r="M83">
        <v>1</v>
      </c>
      <c r="Q83">
        <f t="shared" si="3"/>
        <v>1</v>
      </c>
      <c r="X83">
        <v>1</v>
      </c>
      <c r="AJ83">
        <v>1</v>
      </c>
    </row>
    <row r="84" spans="1:38" x14ac:dyDescent="0.3">
      <c r="A84" s="3" t="s">
        <v>330</v>
      </c>
      <c r="B84" t="s">
        <v>154</v>
      </c>
      <c r="C84">
        <v>3</v>
      </c>
      <c r="D84" t="s">
        <v>12</v>
      </c>
      <c r="E84" t="s">
        <v>134</v>
      </c>
      <c r="F84" t="s">
        <v>633</v>
      </c>
      <c r="G84" t="s">
        <v>634</v>
      </c>
      <c r="H84">
        <v>-12</v>
      </c>
      <c r="J84">
        <v>1</v>
      </c>
      <c r="Q84">
        <f t="shared" si="3"/>
        <v>1</v>
      </c>
      <c r="X84">
        <v>1</v>
      </c>
      <c r="AL84">
        <v>1</v>
      </c>
    </row>
    <row r="85" spans="1:38" x14ac:dyDescent="0.3">
      <c r="A85" s="3" t="s">
        <v>330</v>
      </c>
      <c r="B85" t="s">
        <v>316</v>
      </c>
      <c r="C85">
        <v>1</v>
      </c>
      <c r="D85" t="s">
        <v>81</v>
      </c>
      <c r="E85" t="s">
        <v>134</v>
      </c>
      <c r="F85" t="s">
        <v>636</v>
      </c>
      <c r="G85" t="s">
        <v>61</v>
      </c>
      <c r="H85">
        <v>-6</v>
      </c>
      <c r="M85">
        <v>1</v>
      </c>
      <c r="Q85">
        <f t="shared" si="3"/>
        <v>1</v>
      </c>
      <c r="X85">
        <v>1</v>
      </c>
      <c r="AJ85">
        <v>1</v>
      </c>
    </row>
    <row r="86" spans="1:38" x14ac:dyDescent="0.3">
      <c r="A86" s="3" t="s">
        <v>330</v>
      </c>
      <c r="B86" t="s">
        <v>226</v>
      </c>
      <c r="C86">
        <v>3</v>
      </c>
      <c r="D86" t="s">
        <v>81</v>
      </c>
      <c r="E86" t="s">
        <v>134</v>
      </c>
      <c r="F86" t="s">
        <v>529</v>
      </c>
      <c r="G86" t="s">
        <v>634</v>
      </c>
      <c r="H86">
        <v>-12</v>
      </c>
      <c r="J86">
        <v>1</v>
      </c>
      <c r="Q86">
        <f t="shared" si="3"/>
        <v>1</v>
      </c>
      <c r="X86">
        <v>1</v>
      </c>
    </row>
    <row r="87" spans="1:38" x14ac:dyDescent="0.3">
      <c r="A87" s="3" t="s">
        <v>330</v>
      </c>
      <c r="B87" t="s">
        <v>395</v>
      </c>
      <c r="C87">
        <v>2</v>
      </c>
      <c r="D87" t="s">
        <v>81</v>
      </c>
      <c r="E87" t="s">
        <v>134</v>
      </c>
      <c r="F87" t="s">
        <v>637</v>
      </c>
      <c r="G87" t="s">
        <v>82</v>
      </c>
      <c r="H87">
        <v>-9</v>
      </c>
      <c r="J87">
        <v>1</v>
      </c>
      <c r="N87">
        <v>1</v>
      </c>
      <c r="Q87">
        <f t="shared" si="3"/>
        <v>1</v>
      </c>
      <c r="X87">
        <v>1</v>
      </c>
      <c r="AK87">
        <v>1</v>
      </c>
    </row>
    <row r="88" spans="1:38" x14ac:dyDescent="0.3">
      <c r="A88" s="3" t="s">
        <v>330</v>
      </c>
      <c r="B88" t="s">
        <v>88</v>
      </c>
      <c r="C88">
        <v>0</v>
      </c>
      <c r="D88" t="s">
        <v>66</v>
      </c>
      <c r="E88" t="s">
        <v>165</v>
      </c>
      <c r="F88" t="s">
        <v>638</v>
      </c>
      <c r="H88">
        <v>1</v>
      </c>
      <c r="K88">
        <v>1</v>
      </c>
      <c r="P88">
        <v>1</v>
      </c>
      <c r="Q88">
        <f t="shared" si="3"/>
        <v>1</v>
      </c>
      <c r="AG88">
        <v>1</v>
      </c>
    </row>
    <row r="89" spans="1:38" x14ac:dyDescent="0.3">
      <c r="A89" s="3" t="s">
        <v>330</v>
      </c>
      <c r="B89" t="s">
        <v>89</v>
      </c>
      <c r="C89">
        <v>0</v>
      </c>
      <c r="D89" t="s">
        <v>66</v>
      </c>
      <c r="E89" t="s">
        <v>165</v>
      </c>
      <c r="F89" t="s">
        <v>461</v>
      </c>
      <c r="H89">
        <v>0</v>
      </c>
      <c r="L89">
        <v>1</v>
      </c>
      <c r="N89">
        <v>1</v>
      </c>
      <c r="Q89">
        <f t="shared" si="3"/>
        <v>1</v>
      </c>
      <c r="AG89">
        <v>1</v>
      </c>
      <c r="AL89">
        <v>1</v>
      </c>
    </row>
    <row r="90" spans="1:38" x14ac:dyDescent="0.3">
      <c r="A90" s="3" t="s">
        <v>330</v>
      </c>
      <c r="B90" t="s">
        <v>91</v>
      </c>
      <c r="C90">
        <v>2</v>
      </c>
      <c r="D90" t="s">
        <v>66</v>
      </c>
      <c r="E90" t="s">
        <v>165</v>
      </c>
      <c r="F90" t="s">
        <v>640</v>
      </c>
      <c r="H90">
        <v>0</v>
      </c>
      <c r="L90">
        <v>1</v>
      </c>
      <c r="N90">
        <v>1</v>
      </c>
      <c r="P90">
        <v>1</v>
      </c>
      <c r="Q90">
        <f t="shared" si="3"/>
        <v>1</v>
      </c>
      <c r="AG90">
        <v>1</v>
      </c>
    </row>
    <row r="91" spans="1:38" x14ac:dyDescent="0.3">
      <c r="A91" s="3" t="s">
        <v>330</v>
      </c>
      <c r="B91" t="s">
        <v>101</v>
      </c>
      <c r="C91">
        <v>1</v>
      </c>
      <c r="D91" t="s">
        <v>66</v>
      </c>
      <c r="E91" t="s">
        <v>165</v>
      </c>
      <c r="F91" t="s">
        <v>639</v>
      </c>
      <c r="H91">
        <v>0</v>
      </c>
      <c r="L91">
        <v>1</v>
      </c>
      <c r="N91">
        <v>1</v>
      </c>
      <c r="P91">
        <v>1</v>
      </c>
      <c r="Q91">
        <f t="shared" si="3"/>
        <v>1</v>
      </c>
      <c r="AG91">
        <v>1</v>
      </c>
    </row>
    <row r="92" spans="1:38" x14ac:dyDescent="0.3">
      <c r="A92" s="3" t="s">
        <v>330</v>
      </c>
      <c r="B92" t="s">
        <v>307</v>
      </c>
      <c r="C92">
        <v>1</v>
      </c>
      <c r="D92" t="s">
        <v>66</v>
      </c>
      <c r="E92" t="s">
        <v>165</v>
      </c>
      <c r="F92" t="s">
        <v>641</v>
      </c>
      <c r="H92">
        <v>3</v>
      </c>
      <c r="L92">
        <v>1</v>
      </c>
      <c r="P92">
        <v>1</v>
      </c>
      <c r="Q92">
        <f t="shared" si="3"/>
        <v>1</v>
      </c>
      <c r="AG92">
        <v>1</v>
      </c>
    </row>
    <row r="93" spans="1:38" x14ac:dyDescent="0.3">
      <c r="A93" s="3" t="s">
        <v>330</v>
      </c>
      <c r="B93" t="s">
        <v>363</v>
      </c>
      <c r="C93">
        <v>0</v>
      </c>
      <c r="D93" t="s">
        <v>66</v>
      </c>
      <c r="E93" t="s">
        <v>165</v>
      </c>
      <c r="F93" t="s">
        <v>642</v>
      </c>
      <c r="H93">
        <v>1</v>
      </c>
      <c r="L93">
        <v>1</v>
      </c>
      <c r="N93">
        <v>1</v>
      </c>
      <c r="Q93">
        <f t="shared" si="3"/>
        <v>1</v>
      </c>
      <c r="AG93">
        <v>1</v>
      </c>
    </row>
    <row r="94" spans="1:38" x14ac:dyDescent="0.3">
      <c r="A94" s="3" t="s">
        <v>330</v>
      </c>
      <c r="B94" t="s">
        <v>361</v>
      </c>
      <c r="C94">
        <v>0</v>
      </c>
      <c r="D94" t="s">
        <v>66</v>
      </c>
      <c r="E94" t="s">
        <v>165</v>
      </c>
      <c r="F94" t="s">
        <v>643</v>
      </c>
      <c r="H94">
        <v>0</v>
      </c>
      <c r="L94">
        <v>1</v>
      </c>
      <c r="N94">
        <v>1</v>
      </c>
      <c r="P94">
        <v>1</v>
      </c>
      <c r="Q94">
        <f t="shared" si="3"/>
        <v>1</v>
      </c>
      <c r="AG94">
        <v>1</v>
      </c>
    </row>
    <row r="95" spans="1:38" x14ac:dyDescent="0.3">
      <c r="A95" s="3" t="s">
        <v>330</v>
      </c>
      <c r="B95" t="s">
        <v>264</v>
      </c>
      <c r="C95">
        <v>0</v>
      </c>
      <c r="D95" t="s">
        <v>66</v>
      </c>
      <c r="E95" t="s">
        <v>165</v>
      </c>
      <c r="F95" t="s">
        <v>409</v>
      </c>
      <c r="H95">
        <v>2</v>
      </c>
      <c r="L95">
        <v>1</v>
      </c>
      <c r="N95">
        <v>1</v>
      </c>
      <c r="P95">
        <v>1</v>
      </c>
      <c r="Q95">
        <f t="shared" si="3"/>
        <v>1</v>
      </c>
      <c r="AG95">
        <v>1</v>
      </c>
    </row>
    <row r="96" spans="1:38" x14ac:dyDescent="0.3">
      <c r="A96" s="3" t="s">
        <v>330</v>
      </c>
      <c r="B96" t="s">
        <v>265</v>
      </c>
      <c r="C96">
        <v>1</v>
      </c>
      <c r="D96" t="s">
        <v>66</v>
      </c>
      <c r="E96" t="s">
        <v>165</v>
      </c>
      <c r="F96" t="s">
        <v>266</v>
      </c>
      <c r="H96">
        <v>1</v>
      </c>
      <c r="K96">
        <v>1</v>
      </c>
      <c r="N96">
        <v>1</v>
      </c>
      <c r="P96">
        <v>1</v>
      </c>
      <c r="Q96">
        <f t="shared" si="3"/>
        <v>1</v>
      </c>
      <c r="AG96">
        <v>1</v>
      </c>
    </row>
    <row r="97" spans="1:38" x14ac:dyDescent="0.3">
      <c r="A97" s="3" t="s">
        <v>330</v>
      </c>
      <c r="B97" t="s">
        <v>95</v>
      </c>
      <c r="C97">
        <v>1</v>
      </c>
      <c r="D97" t="s">
        <v>66</v>
      </c>
      <c r="E97" t="s">
        <v>140</v>
      </c>
      <c r="F97" t="s">
        <v>548</v>
      </c>
      <c r="H97">
        <v>0</v>
      </c>
      <c r="J97">
        <v>1</v>
      </c>
      <c r="Q97">
        <f t="shared" si="3"/>
        <v>1</v>
      </c>
      <c r="AD97">
        <v>1</v>
      </c>
    </row>
    <row r="98" spans="1:38" x14ac:dyDescent="0.3">
      <c r="A98" s="3" t="s">
        <v>330</v>
      </c>
      <c r="B98" t="s">
        <v>155</v>
      </c>
      <c r="C98">
        <v>1</v>
      </c>
      <c r="D98" t="s">
        <v>43</v>
      </c>
      <c r="E98" t="s">
        <v>140</v>
      </c>
      <c r="F98" t="s">
        <v>592</v>
      </c>
      <c r="H98">
        <v>0</v>
      </c>
      <c r="L98">
        <v>1</v>
      </c>
      <c r="Q98">
        <f t="shared" si="3"/>
        <v>1</v>
      </c>
      <c r="AD98">
        <v>1</v>
      </c>
    </row>
    <row r="99" spans="1:38" x14ac:dyDescent="0.3">
      <c r="A99" s="3" t="s">
        <v>330</v>
      </c>
      <c r="B99" t="s">
        <v>156</v>
      </c>
      <c r="C99">
        <v>1</v>
      </c>
      <c r="D99" t="s">
        <v>81</v>
      </c>
      <c r="E99" t="s">
        <v>132</v>
      </c>
      <c r="F99" t="s">
        <v>644</v>
      </c>
      <c r="H99">
        <v>-6</v>
      </c>
      <c r="I99">
        <v>1</v>
      </c>
      <c r="J99">
        <v>1</v>
      </c>
      <c r="Q99">
        <f t="shared" si="3"/>
        <v>1</v>
      </c>
      <c r="AD99">
        <v>1</v>
      </c>
    </row>
    <row r="100" spans="1:38" x14ac:dyDescent="0.3">
      <c r="A100" s="3" t="s">
        <v>330</v>
      </c>
      <c r="B100" t="s">
        <v>147</v>
      </c>
      <c r="C100">
        <v>2</v>
      </c>
      <c r="D100" t="s">
        <v>66</v>
      </c>
      <c r="E100" t="s">
        <v>137</v>
      </c>
      <c r="F100" t="s">
        <v>372</v>
      </c>
      <c r="H100">
        <v>0</v>
      </c>
      <c r="J100">
        <v>1</v>
      </c>
      <c r="Q100">
        <f t="shared" si="3"/>
        <v>1</v>
      </c>
      <c r="AA100">
        <v>1</v>
      </c>
      <c r="AK100">
        <v>1</v>
      </c>
    </row>
    <row r="101" spans="1:38" x14ac:dyDescent="0.3">
      <c r="A101" s="3" t="s">
        <v>330</v>
      </c>
      <c r="B101" t="s">
        <v>148</v>
      </c>
      <c r="C101">
        <v>2</v>
      </c>
      <c r="D101" t="s">
        <v>66</v>
      </c>
      <c r="E101" t="s">
        <v>137</v>
      </c>
      <c r="F101" t="s">
        <v>408</v>
      </c>
      <c r="H101">
        <v>0</v>
      </c>
      <c r="J101">
        <v>1</v>
      </c>
      <c r="Q101">
        <f t="shared" si="3"/>
        <v>1</v>
      </c>
      <c r="AA101">
        <v>1</v>
      </c>
      <c r="AL101">
        <v>1</v>
      </c>
    </row>
    <row r="102" spans="1:38" x14ac:dyDescent="0.3">
      <c r="A102" s="3" t="s">
        <v>330</v>
      </c>
      <c r="B102" t="s">
        <v>245</v>
      </c>
      <c r="C102">
        <v>2</v>
      </c>
      <c r="D102" t="s">
        <v>66</v>
      </c>
      <c r="E102" t="s">
        <v>137</v>
      </c>
      <c r="F102" t="s">
        <v>366</v>
      </c>
      <c r="H102">
        <v>0</v>
      </c>
      <c r="M102">
        <v>1</v>
      </c>
      <c r="Q102">
        <f t="shared" si="3"/>
        <v>1</v>
      </c>
      <c r="AA102">
        <v>1</v>
      </c>
      <c r="AJ102">
        <v>1</v>
      </c>
    </row>
    <row r="103" spans="1:38" x14ac:dyDescent="0.3">
      <c r="A103" s="3" t="s">
        <v>330</v>
      </c>
      <c r="B103" t="s">
        <v>246</v>
      </c>
      <c r="C103">
        <v>2</v>
      </c>
      <c r="D103" t="s">
        <v>81</v>
      </c>
      <c r="E103" t="s">
        <v>645</v>
      </c>
      <c r="F103" t="s">
        <v>625</v>
      </c>
      <c r="G103" t="s">
        <v>555</v>
      </c>
      <c r="H103">
        <v>-9</v>
      </c>
      <c r="I103">
        <v>1</v>
      </c>
      <c r="J103">
        <v>1</v>
      </c>
      <c r="Q103">
        <f t="shared" si="3"/>
        <v>1</v>
      </c>
      <c r="V103">
        <v>1</v>
      </c>
      <c r="AK103">
        <v>1</v>
      </c>
    </row>
    <row r="104" spans="1:38" x14ac:dyDescent="0.3">
      <c r="A104" s="3" t="s">
        <v>330</v>
      </c>
      <c r="B104" t="s">
        <v>647</v>
      </c>
      <c r="C104">
        <v>0</v>
      </c>
      <c r="D104" t="s">
        <v>543</v>
      </c>
      <c r="E104" t="s">
        <v>648</v>
      </c>
      <c r="F104" t="s">
        <v>649</v>
      </c>
      <c r="H104">
        <v>0</v>
      </c>
      <c r="M104">
        <v>1</v>
      </c>
      <c r="Q104">
        <f t="shared" si="3"/>
        <v>1</v>
      </c>
      <c r="AA104">
        <v>1</v>
      </c>
      <c r="AL104">
        <v>1</v>
      </c>
    </row>
    <row r="105" spans="1:38" x14ac:dyDescent="0.3">
      <c r="A105" s="3" t="s">
        <v>330</v>
      </c>
      <c r="B105" t="s">
        <v>243</v>
      </c>
      <c r="C105">
        <v>0</v>
      </c>
      <c r="D105" t="s">
        <v>66</v>
      </c>
      <c r="E105" t="s">
        <v>137</v>
      </c>
      <c r="F105" t="s">
        <v>624</v>
      </c>
      <c r="H105">
        <v>0</v>
      </c>
      <c r="J105">
        <v>1</v>
      </c>
      <c r="Q105">
        <f t="shared" si="3"/>
        <v>1</v>
      </c>
      <c r="AA105">
        <v>1</v>
      </c>
    </row>
    <row r="106" spans="1:38" x14ac:dyDescent="0.3">
      <c r="A106" s="3" t="s">
        <v>330</v>
      </c>
      <c r="B106" t="s">
        <v>167</v>
      </c>
      <c r="C106">
        <v>1</v>
      </c>
      <c r="D106" t="s">
        <v>81</v>
      </c>
      <c r="E106" t="s">
        <v>131</v>
      </c>
      <c r="F106" t="s">
        <v>558</v>
      </c>
      <c r="G106" t="s">
        <v>513</v>
      </c>
      <c r="H106">
        <v>-6</v>
      </c>
      <c r="I106">
        <v>1</v>
      </c>
      <c r="M106">
        <v>1</v>
      </c>
      <c r="Q106">
        <f t="shared" si="3"/>
        <v>1</v>
      </c>
      <c r="T106">
        <v>1</v>
      </c>
    </row>
    <row r="107" spans="1:38" x14ac:dyDescent="0.3">
      <c r="A107" s="3" t="s">
        <v>330</v>
      </c>
      <c r="B107" t="s">
        <v>296</v>
      </c>
      <c r="C107">
        <v>1</v>
      </c>
      <c r="D107" t="s">
        <v>81</v>
      </c>
      <c r="E107" t="s">
        <v>131</v>
      </c>
      <c r="F107" t="s">
        <v>558</v>
      </c>
      <c r="G107" t="s">
        <v>513</v>
      </c>
      <c r="H107">
        <v>-6</v>
      </c>
      <c r="I107">
        <v>1</v>
      </c>
      <c r="M107">
        <v>1</v>
      </c>
      <c r="Q107">
        <f t="shared" si="3"/>
        <v>1</v>
      </c>
      <c r="T107">
        <v>1</v>
      </c>
    </row>
    <row r="108" spans="1:38" x14ac:dyDescent="0.3">
      <c r="A108" s="3" t="s">
        <v>330</v>
      </c>
      <c r="B108" t="s">
        <v>172</v>
      </c>
      <c r="C108">
        <v>1</v>
      </c>
      <c r="D108" t="s">
        <v>81</v>
      </c>
      <c r="E108" t="s">
        <v>131</v>
      </c>
      <c r="F108" t="s">
        <v>651</v>
      </c>
      <c r="G108" t="s">
        <v>513</v>
      </c>
      <c r="H108">
        <v>1</v>
      </c>
      <c r="I108">
        <v>1</v>
      </c>
      <c r="M108">
        <v>1</v>
      </c>
      <c r="Q108">
        <f t="shared" si="3"/>
        <v>1</v>
      </c>
      <c r="T108">
        <v>1</v>
      </c>
      <c r="AJ108">
        <v>1</v>
      </c>
    </row>
    <row r="109" spans="1:38" x14ac:dyDescent="0.3">
      <c r="A109" s="3" t="s">
        <v>330</v>
      </c>
      <c r="B109" t="s">
        <v>173</v>
      </c>
      <c r="C109">
        <v>1</v>
      </c>
      <c r="D109" t="s">
        <v>81</v>
      </c>
      <c r="E109" t="s">
        <v>131</v>
      </c>
      <c r="F109" t="s">
        <v>650</v>
      </c>
      <c r="G109" t="s">
        <v>513</v>
      </c>
      <c r="H109">
        <v>-6</v>
      </c>
      <c r="I109">
        <v>1</v>
      </c>
      <c r="M109">
        <v>1</v>
      </c>
      <c r="Q109">
        <f t="shared" si="3"/>
        <v>1</v>
      </c>
      <c r="T109">
        <v>1</v>
      </c>
    </row>
    <row r="110" spans="1:38" x14ac:dyDescent="0.3">
      <c r="A110" s="3" t="s">
        <v>330</v>
      </c>
      <c r="B110" t="s">
        <v>652</v>
      </c>
      <c r="C110">
        <v>2</v>
      </c>
      <c r="D110" t="s">
        <v>81</v>
      </c>
      <c r="E110" t="s">
        <v>164</v>
      </c>
      <c r="F110" t="s">
        <v>653</v>
      </c>
      <c r="G110" t="s">
        <v>555</v>
      </c>
      <c r="H110">
        <v>-9</v>
      </c>
      <c r="I110">
        <v>1</v>
      </c>
      <c r="J110">
        <v>1</v>
      </c>
      <c r="Q110">
        <f t="shared" si="3"/>
        <v>1</v>
      </c>
      <c r="V110">
        <v>1</v>
      </c>
      <c r="AL110">
        <v>1</v>
      </c>
    </row>
    <row r="111" spans="1:38" x14ac:dyDescent="0.3">
      <c r="A111" s="3" t="s">
        <v>330</v>
      </c>
      <c r="B111" t="s">
        <v>654</v>
      </c>
      <c r="C111">
        <v>2</v>
      </c>
      <c r="D111" t="s">
        <v>81</v>
      </c>
      <c r="E111" t="s">
        <v>164</v>
      </c>
      <c r="F111" t="s">
        <v>655</v>
      </c>
      <c r="G111" t="s">
        <v>553</v>
      </c>
      <c r="H111">
        <v>-9</v>
      </c>
      <c r="I111">
        <v>1</v>
      </c>
      <c r="J111">
        <v>1</v>
      </c>
      <c r="Q111">
        <f t="shared" si="3"/>
        <v>1</v>
      </c>
      <c r="V111">
        <v>1</v>
      </c>
      <c r="AJ111">
        <v>1</v>
      </c>
    </row>
    <row r="112" spans="1:38" x14ac:dyDescent="0.3">
      <c r="A112" s="3" t="s">
        <v>330</v>
      </c>
      <c r="B112" t="s">
        <v>249</v>
      </c>
      <c r="C112">
        <v>2</v>
      </c>
      <c r="D112" t="s">
        <v>81</v>
      </c>
      <c r="E112" t="s">
        <v>164</v>
      </c>
      <c r="F112" t="s">
        <v>656</v>
      </c>
      <c r="G112" t="s">
        <v>555</v>
      </c>
      <c r="H112">
        <v>-9</v>
      </c>
      <c r="I112">
        <v>1</v>
      </c>
      <c r="J112">
        <v>1</v>
      </c>
      <c r="Q112">
        <f t="shared" ref="Q112" si="4">SUM(R112:AH112)</f>
        <v>1</v>
      </c>
      <c r="V112">
        <v>1</v>
      </c>
      <c r="AL112">
        <v>1</v>
      </c>
    </row>
    <row r="113" spans="1:38" x14ac:dyDescent="0.3">
      <c r="A113" s="3" t="s">
        <v>330</v>
      </c>
      <c r="B113" t="s">
        <v>660</v>
      </c>
      <c r="C113">
        <v>2</v>
      </c>
      <c r="D113" t="s">
        <v>81</v>
      </c>
      <c r="E113" t="s">
        <v>164</v>
      </c>
      <c r="F113" t="s">
        <v>661</v>
      </c>
      <c r="G113" t="s">
        <v>553</v>
      </c>
      <c r="H113">
        <v>-9</v>
      </c>
      <c r="I113">
        <v>1</v>
      </c>
      <c r="J113">
        <v>1</v>
      </c>
      <c r="Q113">
        <f t="shared" ref="Q113" si="5">SUM(R113:AH113)</f>
        <v>1</v>
      </c>
      <c r="V113">
        <v>1</v>
      </c>
      <c r="AL113">
        <v>1</v>
      </c>
    </row>
    <row r="114" spans="1:38" x14ac:dyDescent="0.3">
      <c r="A114" s="3" t="s">
        <v>330</v>
      </c>
      <c r="B114" t="s">
        <v>248</v>
      </c>
      <c r="C114">
        <v>1</v>
      </c>
      <c r="D114" t="s">
        <v>66</v>
      </c>
      <c r="E114" t="s">
        <v>132</v>
      </c>
      <c r="F114" t="s">
        <v>598</v>
      </c>
      <c r="H114">
        <v>0</v>
      </c>
      <c r="J114">
        <v>1</v>
      </c>
      <c r="Q114">
        <f t="shared" si="3"/>
        <v>1</v>
      </c>
      <c r="U114">
        <v>1</v>
      </c>
    </row>
    <row r="115" spans="1:38" x14ac:dyDescent="0.3">
      <c r="A115" s="3" t="s">
        <v>330</v>
      </c>
      <c r="B115" t="s">
        <v>626</v>
      </c>
      <c r="C115">
        <v>1</v>
      </c>
      <c r="D115" t="s">
        <v>514</v>
      </c>
      <c r="E115" t="s">
        <v>627</v>
      </c>
      <c r="F115" t="s">
        <v>628</v>
      </c>
      <c r="G115" t="s">
        <v>513</v>
      </c>
      <c r="H115">
        <v>-6</v>
      </c>
      <c r="I115">
        <v>1</v>
      </c>
      <c r="L115">
        <v>1</v>
      </c>
      <c r="P115">
        <v>1</v>
      </c>
      <c r="Q115">
        <f t="shared" si="3"/>
        <v>1</v>
      </c>
      <c r="U115">
        <v>1</v>
      </c>
    </row>
    <row r="116" spans="1:38" x14ac:dyDescent="0.3">
      <c r="A116" s="3" t="s">
        <v>330</v>
      </c>
      <c r="B116" t="s">
        <v>201</v>
      </c>
      <c r="C116">
        <v>1</v>
      </c>
      <c r="D116" t="s">
        <v>81</v>
      </c>
      <c r="E116" t="s">
        <v>133</v>
      </c>
      <c r="F116" t="s">
        <v>530</v>
      </c>
      <c r="G116" t="s">
        <v>61</v>
      </c>
      <c r="H116">
        <v>-6</v>
      </c>
      <c r="K116">
        <v>1</v>
      </c>
      <c r="Q116">
        <f t="shared" si="3"/>
        <v>1</v>
      </c>
      <c r="W116">
        <v>1</v>
      </c>
    </row>
    <row r="117" spans="1:38" x14ac:dyDescent="0.3">
      <c r="A117" s="3" t="s">
        <v>330</v>
      </c>
      <c r="B117" t="s">
        <v>204</v>
      </c>
      <c r="C117">
        <v>1</v>
      </c>
      <c r="D117" t="s">
        <v>81</v>
      </c>
      <c r="E117" t="s">
        <v>133</v>
      </c>
      <c r="F117" t="s">
        <v>531</v>
      </c>
      <c r="G117" t="s">
        <v>61</v>
      </c>
      <c r="H117">
        <v>-6</v>
      </c>
      <c r="K117">
        <v>1</v>
      </c>
      <c r="Q117">
        <f t="shared" si="3"/>
        <v>1</v>
      </c>
      <c r="W117">
        <v>1</v>
      </c>
    </row>
    <row r="118" spans="1:38" x14ac:dyDescent="0.3">
      <c r="A118" s="3" t="s">
        <v>330</v>
      </c>
      <c r="B118" t="s">
        <v>375</v>
      </c>
      <c r="C118">
        <v>3</v>
      </c>
      <c r="D118" t="s">
        <v>12</v>
      </c>
      <c r="E118" t="s">
        <v>133</v>
      </c>
      <c r="F118" t="s">
        <v>532</v>
      </c>
      <c r="G118" t="s">
        <v>396</v>
      </c>
      <c r="H118">
        <v>-12</v>
      </c>
      <c r="K118">
        <v>1</v>
      </c>
      <c r="Q118">
        <f t="shared" si="3"/>
        <v>1</v>
      </c>
      <c r="W118">
        <v>1</v>
      </c>
      <c r="AJ118">
        <v>1</v>
      </c>
    </row>
    <row r="119" spans="1:38" x14ac:dyDescent="0.3">
      <c r="A119" s="3" t="s">
        <v>330</v>
      </c>
      <c r="B119" t="s">
        <v>206</v>
      </c>
      <c r="C119">
        <v>2</v>
      </c>
      <c r="D119" t="s">
        <v>81</v>
      </c>
      <c r="E119" t="s">
        <v>133</v>
      </c>
      <c r="F119" t="s">
        <v>533</v>
      </c>
      <c r="G119" t="s">
        <v>205</v>
      </c>
      <c r="H119">
        <v>-9</v>
      </c>
      <c r="M119">
        <v>1</v>
      </c>
      <c r="Q119">
        <f t="shared" si="3"/>
        <v>1</v>
      </c>
      <c r="W119">
        <v>1</v>
      </c>
    </row>
    <row r="120" spans="1:38" x14ac:dyDescent="0.3">
      <c r="A120" s="3" t="s">
        <v>330</v>
      </c>
      <c r="B120" t="s">
        <v>412</v>
      </c>
      <c r="C120">
        <v>3</v>
      </c>
      <c r="D120" t="s">
        <v>12</v>
      </c>
      <c r="E120" t="s">
        <v>133</v>
      </c>
      <c r="F120" t="s">
        <v>597</v>
      </c>
      <c r="G120" t="s">
        <v>396</v>
      </c>
      <c r="H120">
        <v>-9</v>
      </c>
      <c r="K120">
        <v>1</v>
      </c>
      <c r="Q120">
        <f t="shared" si="3"/>
        <v>1</v>
      </c>
      <c r="W120">
        <v>1</v>
      </c>
    </row>
    <row r="121" spans="1:38" x14ac:dyDescent="0.3">
      <c r="A121" s="3" t="s">
        <v>330</v>
      </c>
      <c r="B121" t="s">
        <v>218</v>
      </c>
      <c r="C121">
        <v>1</v>
      </c>
      <c r="D121" t="s">
        <v>81</v>
      </c>
      <c r="E121" t="s">
        <v>133</v>
      </c>
      <c r="F121" t="s">
        <v>534</v>
      </c>
      <c r="G121" t="s">
        <v>61</v>
      </c>
      <c r="H121">
        <v>-6</v>
      </c>
      <c r="K121">
        <v>1</v>
      </c>
      <c r="Q121">
        <f t="shared" si="3"/>
        <v>1</v>
      </c>
      <c r="W121">
        <v>1</v>
      </c>
    </row>
    <row r="122" spans="1:38" x14ac:dyDescent="0.3">
      <c r="A122" s="4" t="s">
        <v>330</v>
      </c>
      <c r="B122" t="s">
        <v>87</v>
      </c>
      <c r="C122">
        <v>1</v>
      </c>
      <c r="D122" t="s">
        <v>81</v>
      </c>
      <c r="E122" t="s">
        <v>135</v>
      </c>
      <c r="F122" t="s">
        <v>522</v>
      </c>
      <c r="G122" t="s">
        <v>425</v>
      </c>
      <c r="H122">
        <v>-6</v>
      </c>
      <c r="M122">
        <v>1</v>
      </c>
      <c r="Q122">
        <f t="shared" si="3"/>
        <v>1</v>
      </c>
      <c r="Y122">
        <v>1</v>
      </c>
    </row>
    <row r="123" spans="1:38" x14ac:dyDescent="0.3">
      <c r="A123" s="3" t="s">
        <v>330</v>
      </c>
      <c r="B123" t="s">
        <v>320</v>
      </c>
      <c r="C123">
        <v>2</v>
      </c>
      <c r="D123" t="s">
        <v>81</v>
      </c>
      <c r="E123" t="s">
        <v>135</v>
      </c>
      <c r="F123" t="s">
        <v>615</v>
      </c>
      <c r="G123" t="s">
        <v>205</v>
      </c>
      <c r="H123">
        <v>-9</v>
      </c>
      <c r="M123">
        <v>1</v>
      </c>
      <c r="N123">
        <v>1</v>
      </c>
      <c r="Q123">
        <f t="shared" si="3"/>
        <v>1</v>
      </c>
      <c r="Y123">
        <v>1</v>
      </c>
    </row>
    <row r="124" spans="1:38" x14ac:dyDescent="0.3">
      <c r="A124" s="3" t="s">
        <v>330</v>
      </c>
      <c r="B124" t="s">
        <v>617</v>
      </c>
      <c r="C124">
        <v>2</v>
      </c>
      <c r="D124" t="s">
        <v>514</v>
      </c>
      <c r="E124" t="s">
        <v>618</v>
      </c>
      <c r="F124" t="s">
        <v>619</v>
      </c>
      <c r="G124" t="s">
        <v>553</v>
      </c>
      <c r="H124">
        <v>-9</v>
      </c>
      <c r="K124">
        <v>1</v>
      </c>
      <c r="Q124">
        <f t="shared" si="3"/>
        <v>1</v>
      </c>
      <c r="W124">
        <v>1</v>
      </c>
    </row>
    <row r="125" spans="1:38" x14ac:dyDescent="0.3">
      <c r="A125" s="3" t="s">
        <v>330</v>
      </c>
      <c r="B125" t="s">
        <v>418</v>
      </c>
      <c r="C125">
        <v>2</v>
      </c>
      <c r="D125" t="s">
        <v>81</v>
      </c>
      <c r="E125" t="s">
        <v>135</v>
      </c>
      <c r="F125" t="s">
        <v>616</v>
      </c>
      <c r="G125" t="s">
        <v>205</v>
      </c>
      <c r="H125">
        <v>-9</v>
      </c>
      <c r="M125">
        <v>1</v>
      </c>
      <c r="Q125">
        <f t="shared" si="3"/>
        <v>1</v>
      </c>
      <c r="Y125">
        <v>1</v>
      </c>
    </row>
    <row r="126" spans="1:38" x14ac:dyDescent="0.3">
      <c r="A126" s="3" t="s">
        <v>330</v>
      </c>
      <c r="B126" t="s">
        <v>620</v>
      </c>
      <c r="C126">
        <v>3</v>
      </c>
      <c r="D126" t="s">
        <v>514</v>
      </c>
      <c r="E126" t="s">
        <v>621</v>
      </c>
      <c r="F126" t="s">
        <v>622</v>
      </c>
      <c r="G126" t="s">
        <v>572</v>
      </c>
      <c r="H126">
        <v>-9</v>
      </c>
      <c r="K126">
        <v>1</v>
      </c>
      <c r="Q126">
        <f t="shared" si="3"/>
        <v>1</v>
      </c>
      <c r="W126">
        <v>1</v>
      </c>
    </row>
    <row r="127" spans="1:38" x14ac:dyDescent="0.3">
      <c r="A127" s="3" t="s">
        <v>330</v>
      </c>
      <c r="B127" t="s">
        <v>234</v>
      </c>
      <c r="C127">
        <v>2</v>
      </c>
      <c r="D127" t="s">
        <v>81</v>
      </c>
      <c r="E127" t="s">
        <v>135</v>
      </c>
      <c r="F127" t="s">
        <v>623</v>
      </c>
      <c r="G127" t="s">
        <v>205</v>
      </c>
      <c r="H127">
        <v>-9</v>
      </c>
      <c r="M127">
        <v>1</v>
      </c>
      <c r="Q127">
        <f t="shared" si="3"/>
        <v>1</v>
      </c>
      <c r="Y127">
        <v>1</v>
      </c>
    </row>
    <row r="128" spans="1:38" x14ac:dyDescent="0.3">
      <c r="A128" s="3" t="s">
        <v>330</v>
      </c>
      <c r="B128" t="s">
        <v>80</v>
      </c>
      <c r="C128">
        <v>2</v>
      </c>
      <c r="D128" t="s">
        <v>81</v>
      </c>
      <c r="E128" t="s">
        <v>135</v>
      </c>
      <c r="F128" t="s">
        <v>614</v>
      </c>
      <c r="G128" t="s">
        <v>356</v>
      </c>
      <c r="H128">
        <v>-9</v>
      </c>
      <c r="M128">
        <v>1</v>
      </c>
      <c r="Q128">
        <f t="shared" si="3"/>
        <v>1</v>
      </c>
      <c r="Y128">
        <v>1</v>
      </c>
    </row>
    <row r="129" spans="1:38" x14ac:dyDescent="0.3">
      <c r="A129" s="3" t="s">
        <v>330</v>
      </c>
      <c r="B129" t="s">
        <v>157</v>
      </c>
      <c r="C129">
        <v>0</v>
      </c>
      <c r="D129" t="s">
        <v>43</v>
      </c>
      <c r="E129" t="s">
        <v>138</v>
      </c>
      <c r="F129" t="s">
        <v>612</v>
      </c>
      <c r="H129">
        <v>0</v>
      </c>
      <c r="K129">
        <v>1</v>
      </c>
      <c r="Q129">
        <f t="shared" si="3"/>
        <v>1</v>
      </c>
      <c r="AB129">
        <v>1</v>
      </c>
    </row>
    <row r="130" spans="1:38" ht="13.5" customHeight="1" x14ac:dyDescent="0.3">
      <c r="A130" s="3" t="s">
        <v>330</v>
      </c>
      <c r="B130" t="s">
        <v>381</v>
      </c>
      <c r="C130">
        <v>3</v>
      </c>
      <c r="D130" t="s">
        <v>66</v>
      </c>
      <c r="E130" t="s">
        <v>138</v>
      </c>
      <c r="F130" t="s">
        <v>578</v>
      </c>
      <c r="H130">
        <v>0</v>
      </c>
      <c r="K130">
        <v>1</v>
      </c>
      <c r="N130">
        <v>1</v>
      </c>
      <c r="Q130">
        <f t="shared" si="3"/>
        <v>1</v>
      </c>
      <c r="AB130">
        <v>1</v>
      </c>
    </row>
    <row r="131" spans="1:38" x14ac:dyDescent="0.3">
      <c r="A131" s="3" t="s">
        <v>330</v>
      </c>
      <c r="B131" t="s">
        <v>242</v>
      </c>
      <c r="C131">
        <v>3</v>
      </c>
      <c r="D131" t="s">
        <v>66</v>
      </c>
      <c r="E131" t="s">
        <v>138</v>
      </c>
      <c r="F131" t="s">
        <v>578</v>
      </c>
      <c r="H131">
        <v>0</v>
      </c>
      <c r="K131">
        <v>1</v>
      </c>
      <c r="O131">
        <v>1</v>
      </c>
      <c r="Q131">
        <f t="shared" si="3"/>
        <v>1</v>
      </c>
      <c r="AB131">
        <v>1</v>
      </c>
    </row>
    <row r="132" spans="1:38" x14ac:dyDescent="0.3">
      <c r="A132" s="3" t="s">
        <v>330</v>
      </c>
      <c r="B132" t="s">
        <v>247</v>
      </c>
      <c r="C132">
        <v>0</v>
      </c>
      <c r="D132" t="s">
        <v>66</v>
      </c>
      <c r="E132" t="s">
        <v>138</v>
      </c>
      <c r="F132" t="s">
        <v>482</v>
      </c>
      <c r="H132">
        <v>10</v>
      </c>
      <c r="K132">
        <v>1</v>
      </c>
      <c r="Q132">
        <f t="shared" si="3"/>
        <v>1</v>
      </c>
      <c r="AB132">
        <v>1</v>
      </c>
    </row>
    <row r="133" spans="1:38" x14ac:dyDescent="0.3">
      <c r="A133" s="3" t="s">
        <v>330</v>
      </c>
      <c r="B133" t="s">
        <v>250</v>
      </c>
      <c r="C133">
        <v>0</v>
      </c>
      <c r="D133" t="s">
        <v>66</v>
      </c>
      <c r="E133" t="s">
        <v>138</v>
      </c>
      <c r="F133" t="s">
        <v>611</v>
      </c>
      <c r="H133">
        <v>0</v>
      </c>
      <c r="K133">
        <v>1</v>
      </c>
      <c r="Q133">
        <f t="shared" si="3"/>
        <v>1</v>
      </c>
      <c r="AB133">
        <v>1</v>
      </c>
    </row>
    <row r="134" spans="1:38" x14ac:dyDescent="0.3">
      <c r="A134" s="3" t="s">
        <v>330</v>
      </c>
      <c r="B134" t="s">
        <v>251</v>
      </c>
      <c r="C134">
        <v>0</v>
      </c>
      <c r="D134" t="s">
        <v>66</v>
      </c>
      <c r="E134" t="s">
        <v>138</v>
      </c>
      <c r="F134" t="s">
        <v>483</v>
      </c>
      <c r="H134">
        <v>8</v>
      </c>
      <c r="K134">
        <v>1</v>
      </c>
      <c r="Q134">
        <f t="shared" si="3"/>
        <v>1</v>
      </c>
      <c r="AB134">
        <v>1</v>
      </c>
    </row>
    <row r="135" spans="1:38" x14ac:dyDescent="0.3">
      <c r="A135" s="3" t="s">
        <v>330</v>
      </c>
      <c r="B135" t="s">
        <v>657</v>
      </c>
      <c r="C135">
        <v>0</v>
      </c>
      <c r="D135" t="s">
        <v>543</v>
      </c>
      <c r="E135" t="s">
        <v>658</v>
      </c>
      <c r="F135" t="s">
        <v>659</v>
      </c>
      <c r="H135">
        <v>8</v>
      </c>
      <c r="J135">
        <v>1</v>
      </c>
      <c r="Q135">
        <f t="shared" si="3"/>
        <v>1</v>
      </c>
      <c r="AB135">
        <v>1</v>
      </c>
      <c r="AK135">
        <v>1</v>
      </c>
    </row>
    <row r="136" spans="1:38" x14ac:dyDescent="0.3">
      <c r="A136" s="3" t="s">
        <v>330</v>
      </c>
      <c r="B136" t="s">
        <v>252</v>
      </c>
      <c r="C136">
        <v>0</v>
      </c>
      <c r="D136" t="s">
        <v>66</v>
      </c>
      <c r="E136" t="s">
        <v>138</v>
      </c>
      <c r="F136" t="s">
        <v>253</v>
      </c>
      <c r="H136">
        <v>0</v>
      </c>
      <c r="K136">
        <v>1</v>
      </c>
      <c r="Q136">
        <f t="shared" ref="Q136:Q148" si="6">SUM(R136:AH136)</f>
        <v>1</v>
      </c>
      <c r="AB136">
        <v>1</v>
      </c>
    </row>
    <row r="137" spans="1:38" x14ac:dyDescent="0.3">
      <c r="A137" s="3" t="s">
        <v>330</v>
      </c>
      <c r="B137" t="s">
        <v>254</v>
      </c>
      <c r="C137">
        <v>1</v>
      </c>
      <c r="D137" t="s">
        <v>66</v>
      </c>
      <c r="E137" t="s">
        <v>138</v>
      </c>
      <c r="F137" t="s">
        <v>255</v>
      </c>
      <c r="H137">
        <v>9</v>
      </c>
      <c r="K137">
        <v>1</v>
      </c>
      <c r="Q137">
        <f t="shared" si="6"/>
        <v>1</v>
      </c>
      <c r="AB137">
        <v>1</v>
      </c>
    </row>
    <row r="138" spans="1:38" x14ac:dyDescent="0.3">
      <c r="A138" s="3" t="s">
        <v>330</v>
      </c>
      <c r="B138" t="s">
        <v>256</v>
      </c>
      <c r="C138">
        <v>0</v>
      </c>
      <c r="D138" t="s">
        <v>66</v>
      </c>
      <c r="E138" t="s">
        <v>138</v>
      </c>
      <c r="F138" t="s">
        <v>484</v>
      </c>
      <c r="H138">
        <v>6</v>
      </c>
      <c r="K138">
        <v>1</v>
      </c>
      <c r="Q138">
        <f t="shared" si="6"/>
        <v>1</v>
      </c>
      <c r="AB138">
        <v>1</v>
      </c>
    </row>
    <row r="139" spans="1:38" x14ac:dyDescent="0.3">
      <c r="A139" s="3" t="s">
        <v>330</v>
      </c>
      <c r="B139" t="s">
        <v>257</v>
      </c>
      <c r="C139">
        <v>0</v>
      </c>
      <c r="D139" t="s">
        <v>66</v>
      </c>
      <c r="E139" t="s">
        <v>138</v>
      </c>
      <c r="F139" t="s">
        <v>609</v>
      </c>
      <c r="H139">
        <v>0</v>
      </c>
      <c r="K139">
        <v>1</v>
      </c>
      <c r="P139">
        <v>1</v>
      </c>
      <c r="Q139">
        <f t="shared" si="6"/>
        <v>1</v>
      </c>
      <c r="AB139">
        <v>1</v>
      </c>
      <c r="AJ139">
        <v>1</v>
      </c>
    </row>
    <row r="140" spans="1:38" x14ac:dyDescent="0.3">
      <c r="A140" s="3" t="s">
        <v>330</v>
      </c>
      <c r="B140" t="s">
        <v>258</v>
      </c>
      <c r="C140">
        <v>0</v>
      </c>
      <c r="D140" t="s">
        <v>66</v>
      </c>
      <c r="E140" t="s">
        <v>138</v>
      </c>
      <c r="F140" t="s">
        <v>312</v>
      </c>
      <c r="H140">
        <v>0</v>
      </c>
      <c r="K140">
        <v>1</v>
      </c>
      <c r="Q140">
        <f t="shared" si="6"/>
        <v>1</v>
      </c>
      <c r="AB140">
        <v>1</v>
      </c>
    </row>
    <row r="141" spans="1:38" x14ac:dyDescent="0.3">
      <c r="A141" s="3" t="s">
        <v>330</v>
      </c>
      <c r="B141" t="s">
        <v>271</v>
      </c>
      <c r="C141">
        <v>0</v>
      </c>
      <c r="D141" t="s">
        <v>66</v>
      </c>
      <c r="E141" t="s">
        <v>143</v>
      </c>
      <c r="F141" t="s">
        <v>610</v>
      </c>
      <c r="H141">
        <v>0</v>
      </c>
      <c r="M141">
        <v>1</v>
      </c>
      <c r="Q141">
        <f t="shared" si="6"/>
        <v>1</v>
      </c>
      <c r="AE141">
        <v>1</v>
      </c>
    </row>
    <row r="142" spans="1:38" x14ac:dyDescent="0.3">
      <c r="A142" s="3" t="s">
        <v>330</v>
      </c>
      <c r="B142" t="s">
        <v>261</v>
      </c>
      <c r="C142">
        <v>3</v>
      </c>
      <c r="D142" t="s">
        <v>66</v>
      </c>
      <c r="E142" t="s">
        <v>143</v>
      </c>
      <c r="F142" t="s">
        <v>613</v>
      </c>
      <c r="H142">
        <v>0</v>
      </c>
      <c r="L142">
        <v>1</v>
      </c>
      <c r="Q142">
        <f t="shared" si="6"/>
        <v>1</v>
      </c>
      <c r="AE142">
        <v>1</v>
      </c>
      <c r="AL142">
        <v>1</v>
      </c>
    </row>
    <row r="143" spans="1:38" x14ac:dyDescent="0.3">
      <c r="A143" s="3" t="s">
        <v>330</v>
      </c>
      <c r="B143" t="s">
        <v>273</v>
      </c>
      <c r="C143">
        <v>0</v>
      </c>
      <c r="D143" t="s">
        <v>66</v>
      </c>
      <c r="E143" t="s">
        <v>143</v>
      </c>
      <c r="F143" t="s">
        <v>457</v>
      </c>
      <c r="H143">
        <v>0</v>
      </c>
      <c r="M143">
        <v>1</v>
      </c>
      <c r="Q143">
        <f t="shared" si="6"/>
        <v>1</v>
      </c>
      <c r="AE143">
        <v>1</v>
      </c>
    </row>
    <row r="144" spans="1:38" x14ac:dyDescent="0.3">
      <c r="A144" s="3" t="s">
        <v>330</v>
      </c>
      <c r="B144" t="s">
        <v>274</v>
      </c>
      <c r="C144">
        <v>0</v>
      </c>
      <c r="D144" t="s">
        <v>66</v>
      </c>
      <c r="E144" t="s">
        <v>143</v>
      </c>
      <c r="F144" t="s">
        <v>427</v>
      </c>
      <c r="H144">
        <v>0</v>
      </c>
      <c r="M144">
        <v>1</v>
      </c>
      <c r="Q144">
        <f t="shared" si="6"/>
        <v>1</v>
      </c>
      <c r="AE144">
        <v>1</v>
      </c>
    </row>
    <row r="145" spans="1:37" x14ac:dyDescent="0.3">
      <c r="A145" t="s">
        <v>277</v>
      </c>
      <c r="B145" t="s">
        <v>194</v>
      </c>
      <c r="C145">
        <v>0</v>
      </c>
      <c r="D145" t="s">
        <v>66</v>
      </c>
      <c r="E145" t="s">
        <v>277</v>
      </c>
      <c r="F145" t="s">
        <v>473</v>
      </c>
      <c r="H145">
        <v>0</v>
      </c>
      <c r="L145">
        <v>1</v>
      </c>
      <c r="N145">
        <v>1</v>
      </c>
      <c r="P145">
        <v>1</v>
      </c>
      <c r="Q145">
        <f t="shared" si="6"/>
        <v>1</v>
      </c>
      <c r="AH145">
        <v>1</v>
      </c>
    </row>
    <row r="146" spans="1:37" x14ac:dyDescent="0.3">
      <c r="A146" s="3" t="s">
        <v>277</v>
      </c>
      <c r="B146" t="s">
        <v>305</v>
      </c>
      <c r="C146">
        <v>3</v>
      </c>
      <c r="D146" t="s">
        <v>66</v>
      </c>
      <c r="E146" t="s">
        <v>277</v>
      </c>
      <c r="F146" t="s">
        <v>329</v>
      </c>
      <c r="H146">
        <v>0</v>
      </c>
      <c r="J146">
        <v>1</v>
      </c>
      <c r="Q146">
        <f t="shared" si="6"/>
        <v>1</v>
      </c>
      <c r="AH146">
        <v>1</v>
      </c>
    </row>
    <row r="147" spans="1:37" x14ac:dyDescent="0.3">
      <c r="A147" s="4" t="s">
        <v>277</v>
      </c>
      <c r="B147" t="s">
        <v>445</v>
      </c>
      <c r="C147">
        <v>1</v>
      </c>
      <c r="D147" t="s">
        <v>66</v>
      </c>
      <c r="E147" t="s">
        <v>277</v>
      </c>
      <c r="F147" t="s">
        <v>434</v>
      </c>
      <c r="H147">
        <v>0</v>
      </c>
      <c r="M147">
        <v>1</v>
      </c>
      <c r="Q147">
        <f t="shared" si="6"/>
        <v>1</v>
      </c>
      <c r="AH147">
        <v>1</v>
      </c>
    </row>
    <row r="148" spans="1:37" x14ac:dyDescent="0.3">
      <c r="A148" s="4" t="s">
        <v>277</v>
      </c>
      <c r="B148" t="s">
        <v>279</v>
      </c>
      <c r="C148">
        <v>0</v>
      </c>
      <c r="D148" t="s">
        <v>66</v>
      </c>
      <c r="E148" t="s">
        <v>277</v>
      </c>
      <c r="F148" t="s">
        <v>549</v>
      </c>
      <c r="H148">
        <v>0</v>
      </c>
      <c r="L148">
        <v>1</v>
      </c>
      <c r="N148">
        <v>1</v>
      </c>
      <c r="P148">
        <v>1</v>
      </c>
      <c r="Q148">
        <f t="shared" si="6"/>
        <v>1</v>
      </c>
      <c r="AH148">
        <v>1</v>
      </c>
    </row>
    <row r="149" spans="1:37" x14ac:dyDescent="0.3">
      <c r="A149" s="4" t="s">
        <v>277</v>
      </c>
      <c r="B149" t="s">
        <v>369</v>
      </c>
      <c r="C149">
        <v>3</v>
      </c>
      <c r="D149" t="s">
        <v>66</v>
      </c>
      <c r="E149" t="s">
        <v>277</v>
      </c>
      <c r="F149" t="s">
        <v>379</v>
      </c>
      <c r="H149">
        <v>0</v>
      </c>
      <c r="M149">
        <v>1</v>
      </c>
      <c r="AH149">
        <v>1</v>
      </c>
      <c r="AK149">
        <v>1</v>
      </c>
    </row>
  </sheetData>
  <autoFilter ref="A1:AL149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卡牌设计</vt:lpstr>
      <vt:lpstr>后备</vt:lpstr>
      <vt:lpstr>君主牌</vt:lpstr>
      <vt:lpstr>目标牌</vt:lpstr>
      <vt:lpstr>卡牌设计new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Zijie Li</cp:lastModifiedBy>
  <dcterms:created xsi:type="dcterms:W3CDTF">2026-04-05T23:09:02Z</dcterms:created>
  <dcterms:modified xsi:type="dcterms:W3CDTF">2026-08-30T00:37:09Z</dcterms:modified>
</cp:coreProperties>
</file>