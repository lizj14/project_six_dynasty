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fe\board_game\project_six_dynasty\"/>
    </mc:Choice>
  </mc:AlternateContent>
  <xr:revisionPtr revIDLastSave="0" documentId="13_ncr:1_{50AB68B4-DE26-4894-AB58-704670847573}" xr6:coauthVersionLast="47" xr6:coauthVersionMax="47" xr10:uidLastSave="{00000000-0000-0000-0000-000000000000}"/>
  <bookViews>
    <workbookView xWindow="-110" yWindow="-110" windowWidth="25820" windowHeight="15500" tabRatio="811" xr2:uid="{F283CFD4-9FFB-4A79-AF0F-7443CC209F7A}"/>
  </bookViews>
  <sheets>
    <sheet name="卡牌设计" sheetId="1" r:id="rId1"/>
    <sheet name="后备" sheetId="4" r:id="rId2"/>
    <sheet name="目标牌" sheetId="2" r:id="rId3"/>
    <sheet name="君主牌" sheetId="3" r:id="rId4"/>
  </sheets>
  <definedNames>
    <definedName name="_xlnm._FilterDatabase" localSheetId="0" hidden="1">卡牌设计!$A$1:$AJ$152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4" l="1"/>
  <c r="P18" i="4"/>
  <c r="P130" i="1" l="1"/>
  <c r="P17" i="4"/>
  <c r="P16" i="4"/>
  <c r="P126" i="1"/>
  <c r="P15" i="4"/>
  <c r="P10" i="4"/>
  <c r="P9" i="4"/>
  <c r="P8" i="4"/>
  <c r="P7" i="4"/>
  <c r="C2" i="1"/>
  <c r="P65" i="1"/>
  <c r="P6" i="4"/>
  <c r="P5" i="4"/>
  <c r="P4" i="4"/>
  <c r="P99" i="1"/>
  <c r="P149" i="1"/>
  <c r="P150" i="1"/>
  <c r="P148" i="1"/>
  <c r="P100" i="1"/>
  <c r="P151" i="1"/>
  <c r="Q3" i="4"/>
  <c r="Q2" i="4"/>
  <c r="AF2" i="1"/>
  <c r="P73" i="1"/>
  <c r="P147" i="1"/>
  <c r="P146" i="1"/>
  <c r="P145" i="1"/>
  <c r="P144" i="1"/>
  <c r="P72" i="1"/>
  <c r="P71" i="1"/>
  <c r="P70" i="1"/>
  <c r="P69" i="1"/>
  <c r="P103" i="1"/>
  <c r="P102" i="1"/>
  <c r="P143" i="1"/>
  <c r="P142" i="1"/>
  <c r="P141" i="1"/>
  <c r="P140" i="1"/>
  <c r="P139" i="1"/>
  <c r="P138" i="1"/>
  <c r="P137" i="1"/>
  <c r="P136" i="1"/>
  <c r="P110" i="1"/>
  <c r="P109" i="1"/>
  <c r="P135" i="1"/>
  <c r="P134" i="1"/>
  <c r="P86" i="1"/>
  <c r="P85" i="1"/>
  <c r="P84" i="1"/>
  <c r="P83" i="1"/>
  <c r="P131" i="1"/>
  <c r="P128" i="1"/>
  <c r="P127" i="1"/>
  <c r="P94" i="1"/>
  <c r="P93" i="1"/>
  <c r="P87" i="1"/>
  <c r="P92" i="1"/>
  <c r="P125" i="1"/>
  <c r="P22" i="1"/>
  <c r="P124" i="1"/>
  <c r="P123" i="1"/>
  <c r="P122" i="1"/>
  <c r="P121" i="1"/>
  <c r="P120" i="1"/>
  <c r="P25" i="1"/>
  <c r="P119" i="1"/>
  <c r="P118" i="1"/>
  <c r="P117" i="1"/>
  <c r="P116" i="1"/>
  <c r="P115" i="1"/>
  <c r="P114" i="1"/>
  <c r="P133" i="1"/>
  <c r="P113" i="1"/>
  <c r="P112" i="1"/>
  <c r="P111" i="1"/>
  <c r="P108" i="1"/>
  <c r="P107" i="1"/>
  <c r="P106" i="1"/>
  <c r="P105" i="1"/>
  <c r="P104" i="1"/>
  <c r="P98" i="1"/>
  <c r="P97" i="1"/>
  <c r="P96" i="1"/>
  <c r="P95" i="1"/>
  <c r="P91" i="1"/>
  <c r="P90" i="1"/>
  <c r="P89" i="1"/>
  <c r="P88" i="1"/>
  <c r="P132" i="1"/>
  <c r="P82" i="1"/>
  <c r="P81" i="1"/>
  <c r="P80" i="1"/>
  <c r="P79" i="1"/>
  <c r="P78" i="1"/>
  <c r="P77" i="1"/>
  <c r="P76" i="1"/>
  <c r="P43" i="1"/>
  <c r="P75" i="1"/>
  <c r="P74" i="1"/>
  <c r="P68" i="1"/>
  <c r="P67" i="1"/>
  <c r="P66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4" i="1"/>
  <c r="P23" i="1"/>
  <c r="P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3" i="1"/>
  <c r="AJ2" i="1"/>
  <c r="AI2" i="1"/>
  <c r="AH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O2" i="1"/>
  <c r="N2" i="1"/>
  <c r="M2" i="1"/>
  <c r="L2" i="1"/>
  <c r="K2" i="1"/>
  <c r="J2" i="1"/>
  <c r="I2" i="1"/>
  <c r="AG2" i="1" l="1"/>
</calcChain>
</file>

<file path=xl/sharedStrings.xml><?xml version="1.0" encoding="utf-8"?>
<sst xmlns="http://schemas.openxmlformats.org/spreadsheetml/2006/main" count="1067" uniqueCount="512">
  <si>
    <t>归属</t>
  </si>
  <si>
    <t>卡牌名称</t>
  </si>
  <si>
    <t>费用</t>
  </si>
  <si>
    <t>类型</t>
  </si>
  <si>
    <t>资源</t>
  </si>
  <si>
    <t>史书vp</t>
  </si>
  <si>
    <t>文化标记</t>
  </si>
  <si>
    <t>军事标记</t>
  </si>
  <si>
    <t>内政标记</t>
  </si>
  <si>
    <t>统计</t>
  </si>
  <si>
    <t>初始</t>
  </si>
  <si>
    <t>流民</t>
  </si>
  <si>
    <t>策略牌</t>
  </si>
  <si>
    <t>被动：[流民]被存档时，自动放置回供应堆。存档[流民]的玩家获得2vp。</t>
  </si>
  <si>
    <t>-</t>
  </si>
  <si>
    <t>士卒</t>
  </si>
  <si>
    <t>行动：3军力</t>
  </si>
  <si>
    <t>1军力</t>
  </si>
  <si>
    <t>宫廷</t>
  </si>
  <si>
    <t>征辟人才</t>
  </si>
  <si>
    <t>北伐</t>
  </si>
  <si>
    <t>2军力</t>
  </si>
  <si>
    <t>加官进爵</t>
  </si>
  <si>
    <t>苻坚</t>
  </si>
  <si>
    <t>角色牌</t>
  </si>
  <si>
    <t>邓羌</t>
  </si>
  <si>
    <t>幕僚牌</t>
  </si>
  <si>
    <t>慕容</t>
  </si>
  <si>
    <t>慕容儁</t>
  </si>
  <si>
    <t>尊奉江东</t>
  </si>
  <si>
    <t>幽州突骑</t>
  </si>
  <si>
    <t>拓跋</t>
  </si>
  <si>
    <t>拓跋珪</t>
  </si>
  <si>
    <t>草原部落</t>
  </si>
  <si>
    <t>北方</t>
  </si>
  <si>
    <t>姚苌</t>
  </si>
  <si>
    <t>王猛</t>
  </si>
  <si>
    <t>王导</t>
  </si>
  <si>
    <t>王羲之</t>
  </si>
  <si>
    <t>王敦</t>
  </si>
  <si>
    <t>谢安</t>
  </si>
  <si>
    <t>谢玄</t>
  </si>
  <si>
    <t>谢道蕴</t>
  </si>
  <si>
    <t>高卧东山</t>
  </si>
  <si>
    <t>事件牌</t>
  </si>
  <si>
    <t>郗鉴</t>
  </si>
  <si>
    <t>张轨</t>
  </si>
  <si>
    <t>通使建康</t>
  </si>
  <si>
    <t>凉州大马</t>
  </si>
  <si>
    <t>桓温</t>
  </si>
  <si>
    <t>入幕之宾</t>
  </si>
  <si>
    <t>桓石虔</t>
  </si>
  <si>
    <t>刘裕</t>
  </si>
  <si>
    <t>王镇恶</t>
  </si>
  <si>
    <t>刘穆之</t>
  </si>
  <si>
    <t>土断</t>
  </si>
  <si>
    <t>祖逖</t>
  </si>
  <si>
    <t>刘琨</t>
  </si>
  <si>
    <t>桓宣</t>
  </si>
  <si>
    <t>功高不赏</t>
  </si>
  <si>
    <t>流民四起</t>
  </si>
  <si>
    <t>我见犹怜</t>
  </si>
  <si>
    <t>2军力</t>
    <phoneticPr fontId="18" type="noConversion"/>
  </si>
  <si>
    <t>行动：存档1张候选策略牌。</t>
    <phoneticPr fontId="18" type="noConversion"/>
  </si>
  <si>
    <t>3vp</t>
    <phoneticPr fontId="18" type="noConversion"/>
  </si>
  <si>
    <t>孙恩</t>
    <phoneticPr fontId="18" type="noConversion"/>
  </si>
  <si>
    <t>击楫中流</t>
    <phoneticPr fontId="18" type="noConversion"/>
  </si>
  <si>
    <t>事件牌</t>
    <phoneticPr fontId="18" type="noConversion"/>
  </si>
  <si>
    <t>获得6军力，存档此牌。</t>
    <phoneticPr fontId="18" type="noConversion"/>
  </si>
  <si>
    <t>慕容恪</t>
    <phoneticPr fontId="18" type="noConversion"/>
  </si>
  <si>
    <t>幕僚牌</t>
    <phoneticPr fontId="18" type="noConversion"/>
  </si>
  <si>
    <t>慕容垂</t>
    <phoneticPr fontId="18" type="noConversion"/>
  </si>
  <si>
    <t>毛宝</t>
    <phoneticPr fontId="18" type="noConversion"/>
  </si>
  <si>
    <t>兰亭集序</t>
    <phoneticPr fontId="18" type="noConversion"/>
  </si>
  <si>
    <t>洛神赋图</t>
    <phoneticPr fontId="18" type="noConversion"/>
  </si>
  <si>
    <t>吕他墓表</t>
    <phoneticPr fontId="18" type="noConversion"/>
  </si>
  <si>
    <t>崔宏</t>
    <phoneticPr fontId="18" type="noConversion"/>
  </si>
  <si>
    <t>郗鉴</t>
    <phoneticPr fontId="18" type="noConversion"/>
  </si>
  <si>
    <t>郗超</t>
    <phoneticPr fontId="18" type="noConversion"/>
  </si>
  <si>
    <t>限定东晋</t>
    <phoneticPr fontId="18" type="noConversion"/>
  </si>
  <si>
    <t>限定北方</t>
    <phoneticPr fontId="18" type="noConversion"/>
  </si>
  <si>
    <t>营造宫殿</t>
    <phoneticPr fontId="18" type="noConversion"/>
  </si>
  <si>
    <t>策略牌</t>
    <phoneticPr fontId="18" type="noConversion"/>
  </si>
  <si>
    <t>4vp</t>
    <phoneticPr fontId="18" type="noConversion"/>
  </si>
  <si>
    <t>鸠摩罗什</t>
    <phoneticPr fontId="18" type="noConversion"/>
  </si>
  <si>
    <t>桃花源记</t>
    <phoneticPr fontId="18" type="noConversion"/>
  </si>
  <si>
    <t>西域征伐</t>
    <phoneticPr fontId="18" type="noConversion"/>
  </si>
  <si>
    <t>高句丽征伐</t>
    <phoneticPr fontId="18" type="noConversion"/>
  </si>
  <si>
    <t>招抚</t>
    <phoneticPr fontId="18" type="noConversion"/>
  </si>
  <si>
    <t>刘牢之</t>
    <phoneticPr fontId="18" type="noConversion"/>
  </si>
  <si>
    <t>支妙音</t>
    <phoneticPr fontId="18" type="noConversion"/>
  </si>
  <si>
    <t>僭越</t>
    <phoneticPr fontId="18" type="noConversion"/>
  </si>
  <si>
    <t>咄咄怪事</t>
    <phoneticPr fontId="18" type="noConversion"/>
  </si>
  <si>
    <t>北征赋</t>
    <phoneticPr fontId="18" type="noConversion"/>
  </si>
  <si>
    <t>拥有[北伐]标记时，可以打出，存档此牌。</t>
    <phoneticPr fontId="18" type="noConversion"/>
  </si>
  <si>
    <t>遗臭万年</t>
    <phoneticPr fontId="18" type="noConversion"/>
  </si>
  <si>
    <t>陶渊明</t>
    <phoneticPr fontId="18" type="noConversion"/>
  </si>
  <si>
    <t>周处除三害</t>
    <phoneticPr fontId="18" type="noConversion"/>
  </si>
  <si>
    <t>存档1张候选策略牌，然后存档此牌。</t>
    <phoneticPr fontId="18" type="noConversion"/>
  </si>
  <si>
    <t>沈劲</t>
    <phoneticPr fontId="18" type="noConversion"/>
  </si>
  <si>
    <t>主动：1军力。</t>
    <phoneticPr fontId="18" type="noConversion"/>
  </si>
  <si>
    <t>兴修水利</t>
    <phoneticPr fontId="18" type="noConversion"/>
  </si>
  <si>
    <t>庾亮</t>
    <phoneticPr fontId="18" type="noConversion"/>
  </si>
  <si>
    <t>还都洛阳</t>
    <phoneticPr fontId="18" type="noConversion"/>
  </si>
  <si>
    <t>目标牌</t>
    <phoneticPr fontId="18" type="noConversion"/>
  </si>
  <si>
    <t>分数</t>
    <phoneticPr fontId="18" type="noConversion"/>
  </si>
  <si>
    <t>简单目标</t>
    <phoneticPr fontId="18" type="noConversion"/>
  </si>
  <si>
    <t>完整目标</t>
    <phoneticPr fontId="18" type="noConversion"/>
  </si>
  <si>
    <t>天府之土</t>
    <phoneticPr fontId="18" type="noConversion"/>
  </si>
  <si>
    <t>玩家控制[巴蜀]区域</t>
    <phoneticPr fontId="18" type="noConversion"/>
  </si>
  <si>
    <t>东晋控制[巴蜀]区域</t>
    <phoneticPr fontId="18" type="noConversion"/>
  </si>
  <si>
    <t>加九锡</t>
    <phoneticPr fontId="18" type="noConversion"/>
  </si>
  <si>
    <t>江汉之固</t>
  </si>
  <si>
    <t>河洛旧都</t>
  </si>
  <si>
    <t>东晋控制[中原]区域</t>
    <phoneticPr fontId="18" type="noConversion"/>
  </si>
  <si>
    <t>玩家控制[中原]区域</t>
    <phoneticPr fontId="18" type="noConversion"/>
  </si>
  <si>
    <t>关中故畿</t>
  </si>
  <si>
    <t>东晋控制[关中]区域</t>
    <phoneticPr fontId="18" type="noConversion"/>
  </si>
  <si>
    <t>玩家控制[关中]区域</t>
    <phoneticPr fontId="18" type="noConversion"/>
  </si>
  <si>
    <t>海岱之地</t>
    <phoneticPr fontId="18" type="noConversion"/>
  </si>
  <si>
    <t>玩家控制[山东]区域</t>
    <phoneticPr fontId="18" type="noConversion"/>
  </si>
  <si>
    <t>淮甸重镇</t>
  </si>
  <si>
    <t>东晋控制[淮南]区域</t>
    <phoneticPr fontId="18" type="noConversion"/>
  </si>
  <si>
    <t>玩家控制[淮南]区域</t>
    <phoneticPr fontId="18" type="noConversion"/>
  </si>
  <si>
    <t>东晋控制[山东]区域</t>
    <phoneticPr fontId="18" type="noConversion"/>
  </si>
  <si>
    <t>赵魏雄藩</t>
  </si>
  <si>
    <t>东晋控制[河北]区域</t>
    <phoneticPr fontId="18" type="noConversion"/>
  </si>
  <si>
    <t>玩家控制[河北]区域</t>
    <phoneticPr fontId="18" type="noConversion"/>
  </si>
  <si>
    <t>表里山河</t>
    <phoneticPr fontId="18" type="noConversion"/>
  </si>
  <si>
    <t>东晋控制[山西]区域</t>
    <phoneticPr fontId="18" type="noConversion"/>
  </si>
  <si>
    <t>玩家控制[山西]区域</t>
    <phoneticPr fontId="18" type="noConversion"/>
  </si>
  <si>
    <t>7/14</t>
    <phoneticPr fontId="18" type="noConversion"/>
  </si>
  <si>
    <t>敦悦五经</t>
  </si>
  <si>
    <t>6/14</t>
    <phoneticPr fontId="18" type="noConversion"/>
  </si>
  <si>
    <t>清言世业</t>
  </si>
  <si>
    <t>崇奉三宝</t>
  </si>
  <si>
    <t>佛寺</t>
    <phoneticPr fontId="18" type="noConversion"/>
  </si>
  <si>
    <t>伊霍之事</t>
    <phoneticPr fontId="18" type="noConversion"/>
  </si>
  <si>
    <t>幕僚-名将</t>
    <phoneticPr fontId="18" type="noConversion"/>
  </si>
  <si>
    <t>幕僚-谋主</t>
    <phoneticPr fontId="18" type="noConversion"/>
  </si>
  <si>
    <t>幕僚-特殊</t>
    <phoneticPr fontId="18" type="noConversion"/>
  </si>
  <si>
    <t>策略-军备</t>
    <phoneticPr fontId="18" type="noConversion"/>
  </si>
  <si>
    <t>策略-文化</t>
    <phoneticPr fontId="18" type="noConversion"/>
  </si>
  <si>
    <t>策略-特殊</t>
    <phoneticPr fontId="18" type="noConversion"/>
  </si>
  <si>
    <t>事件-艺术</t>
    <phoneticPr fontId="18" type="noConversion"/>
  </si>
  <si>
    <t>事件-文化</t>
    <phoneticPr fontId="18" type="noConversion"/>
  </si>
  <si>
    <t>事件-军事</t>
    <phoneticPr fontId="18" type="noConversion"/>
  </si>
  <si>
    <t>事件-VP</t>
    <phoneticPr fontId="18" type="noConversion"/>
  </si>
  <si>
    <t>事件-检索</t>
    <phoneticPr fontId="18" type="noConversion"/>
  </si>
  <si>
    <t>事件-机制</t>
    <phoneticPr fontId="18" type="noConversion"/>
  </si>
  <si>
    <t>total</t>
    <phoneticPr fontId="18" type="noConversion"/>
  </si>
  <si>
    <t>事件-功能</t>
    <phoneticPr fontId="18" type="noConversion"/>
  </si>
  <si>
    <t>朱龄石</t>
    <phoneticPr fontId="18" type="noConversion"/>
  </si>
  <si>
    <t>谢艾</t>
    <phoneticPr fontId="18" type="noConversion"/>
  </si>
  <si>
    <t>陶侃</t>
    <phoneticPr fontId="18" type="noConversion"/>
  </si>
  <si>
    <t>玄言清谈</t>
    <phoneticPr fontId="18" type="noConversion"/>
  </si>
  <si>
    <t>法显西行</t>
    <phoneticPr fontId="18" type="noConversion"/>
  </si>
  <si>
    <t>京口重镇</t>
  </si>
  <si>
    <t>儒学</t>
    <phoneticPr fontId="18" type="noConversion"/>
  </si>
  <si>
    <t>玄学</t>
    <phoneticPr fontId="18" type="noConversion"/>
  </si>
  <si>
    <t>佛学</t>
    <phoneticPr fontId="18" type="noConversion"/>
  </si>
  <si>
    <t>史官</t>
  </si>
  <si>
    <t>千佛洞</t>
  </si>
  <si>
    <t>戴洋</t>
  </si>
  <si>
    <t>郭璞</t>
  </si>
  <si>
    <t>荀灌</t>
  </si>
  <si>
    <t>谢安</t>
    <phoneticPr fontId="18" type="noConversion"/>
  </si>
  <si>
    <t>桓温</t>
    <phoneticPr fontId="18" type="noConversion"/>
  </si>
  <si>
    <t>卡牌分类</t>
    <phoneticPr fontId="18" type="noConversion"/>
  </si>
  <si>
    <t>初始</t>
    <phoneticPr fontId="18" type="noConversion"/>
  </si>
  <si>
    <t>角色-北方</t>
    <phoneticPr fontId="18" type="noConversion"/>
  </si>
  <si>
    <t>角色-东晋</t>
    <phoneticPr fontId="18" type="noConversion"/>
  </si>
  <si>
    <t>幕僚-艺术文化</t>
    <phoneticPr fontId="18" type="noConversion"/>
  </si>
  <si>
    <t>事件-权谋</t>
    <phoneticPr fontId="18" type="noConversion"/>
  </si>
  <si>
    <t>权谋标记</t>
    <phoneticPr fontId="18" type="noConversion"/>
  </si>
  <si>
    <t>尹纬</t>
    <phoneticPr fontId="18" type="noConversion"/>
  </si>
  <si>
    <t>幕僚牌</t>
    <phoneticPr fontId="18" type="noConversion"/>
  </si>
  <si>
    <t>幕僚-谋主</t>
    <phoneticPr fontId="18" type="noConversion"/>
  </si>
  <si>
    <t>被动：每次弃手牌时，获得2vp。</t>
    <phoneticPr fontId="18" type="noConversion"/>
  </si>
  <si>
    <t>已经标注</t>
    <phoneticPr fontId="18" type="noConversion"/>
  </si>
  <si>
    <t>刁协</t>
    <phoneticPr fontId="18" type="noConversion"/>
  </si>
  <si>
    <t>袁乔</t>
    <phoneticPr fontId="18" type="noConversion"/>
  </si>
  <si>
    <t>事件-文化</t>
    <phoneticPr fontId="18" type="noConversion"/>
  </si>
  <si>
    <t>幕僚-艺术文化</t>
    <phoneticPr fontId="18" type="noConversion"/>
  </si>
  <si>
    <t>事件牌</t>
    <phoneticPr fontId="18" type="noConversion"/>
  </si>
  <si>
    <t>搜神记</t>
    <phoneticPr fontId="18" type="noConversion"/>
  </si>
  <si>
    <t>事件-艺术</t>
    <phoneticPr fontId="18" type="noConversion"/>
  </si>
  <si>
    <t>道安</t>
    <phoneticPr fontId="18" type="noConversion"/>
  </si>
  <si>
    <t>君主牌</t>
    <phoneticPr fontId="18" type="noConversion"/>
  </si>
  <si>
    <t>数量</t>
    <phoneticPr fontId="18" type="noConversion"/>
  </si>
  <si>
    <t>纯质</t>
    <phoneticPr fontId="18" type="noConversion"/>
  </si>
  <si>
    <t>-</t>
    <phoneticPr fontId="18" type="noConversion"/>
  </si>
  <si>
    <t>初始威望</t>
    <phoneticPr fontId="18" type="noConversion"/>
  </si>
  <si>
    <t>守成</t>
    <phoneticPr fontId="18" type="noConversion"/>
  </si>
  <si>
    <t>加固</t>
    <phoneticPr fontId="18" type="noConversion"/>
  </si>
  <si>
    <t>扩张</t>
    <phoneticPr fontId="18" type="noConversion"/>
  </si>
  <si>
    <t>文化</t>
    <phoneticPr fontId="18" type="noConversion"/>
  </si>
  <si>
    <t>艺术</t>
    <phoneticPr fontId="18" type="noConversion"/>
  </si>
  <si>
    <t>躬亲</t>
    <phoneticPr fontId="18" type="noConversion"/>
  </si>
  <si>
    <t>改革</t>
    <phoneticPr fontId="18" type="noConversion"/>
  </si>
  <si>
    <t>特效</t>
    <phoneticPr fontId="18" type="noConversion"/>
  </si>
  <si>
    <t>雅好</t>
    <phoneticPr fontId="18" type="noConversion"/>
  </si>
  <si>
    <t>清君侧</t>
    <phoneticPr fontId="18" type="noConversion"/>
  </si>
  <si>
    <t>仅限东晋玩家打出。支付7军力，然后获得2威望，其他东晋玩家失去1威望。每占据一个和首都相邻的地点，减少1点军力费用。</t>
    <phoneticPr fontId="18" type="noConversion"/>
  </si>
  <si>
    <t>幕僚牌</t>
    <phoneticPr fontId="18" type="noConversion"/>
  </si>
  <si>
    <t>幕僚-特殊</t>
    <phoneticPr fontId="18" type="noConversion"/>
  </si>
  <si>
    <t>钱凤</t>
    <phoneticPr fontId="18" type="noConversion"/>
  </si>
  <si>
    <t>司马道子</t>
    <phoneticPr fontId="18" type="noConversion"/>
  </si>
  <si>
    <t>仅限北方玩家打出。主动：弃置1张东晋的候选策略牌。</t>
    <phoneticPr fontId="18" type="noConversion"/>
  </si>
  <si>
    <t>修缮城防</t>
    <phoneticPr fontId="18" type="noConversion"/>
  </si>
  <si>
    <t>策略牌</t>
    <phoneticPr fontId="18" type="noConversion"/>
  </si>
  <si>
    <t>策略-军备</t>
    <phoneticPr fontId="18" type="noConversion"/>
  </si>
  <si>
    <t>募兵</t>
    <phoneticPr fontId="18" type="noConversion"/>
  </si>
  <si>
    <t>2军力1vp</t>
    <phoneticPr fontId="18" type="noConversion"/>
  </si>
  <si>
    <t>军屯</t>
    <phoneticPr fontId="18" type="noConversion"/>
  </si>
  <si>
    <t>流民帅</t>
    <phoneticPr fontId="18" type="noConversion"/>
  </si>
  <si>
    <t>事件牌</t>
    <phoneticPr fontId="18" type="noConversion"/>
  </si>
  <si>
    <t>事件-军事</t>
    <phoneticPr fontId="18" type="noConversion"/>
  </si>
  <si>
    <t>漠北征伐</t>
    <phoneticPr fontId="18" type="noConversion"/>
  </si>
  <si>
    <t>事件牌</t>
    <phoneticPr fontId="18" type="noConversion"/>
  </si>
  <si>
    <t>事件-机制</t>
    <phoneticPr fontId="18" type="noConversion"/>
  </si>
  <si>
    <t>强制：在东晋和北方弃牌区各放置1张[流民]。摸1张牌。</t>
    <phoneticPr fontId="18" type="noConversion"/>
  </si>
  <si>
    <t>侨州郡县</t>
    <phoneticPr fontId="18" type="noConversion"/>
  </si>
  <si>
    <t>策略牌</t>
    <phoneticPr fontId="18" type="noConversion"/>
  </si>
  <si>
    <t>策略-特殊</t>
    <phoneticPr fontId="18" type="noConversion"/>
  </si>
  <si>
    <t>策略-文化</t>
    <phoneticPr fontId="18" type="noConversion"/>
  </si>
  <si>
    <t>坞堡</t>
    <phoneticPr fontId="18" type="noConversion"/>
  </si>
  <si>
    <t>策略牌</t>
    <phoneticPr fontId="18" type="noConversion"/>
  </si>
  <si>
    <t>策略-军备</t>
    <phoneticPr fontId="18" type="noConversion"/>
  </si>
  <si>
    <t>效果</t>
    <phoneticPr fontId="18" type="noConversion"/>
  </si>
  <si>
    <t>轻骑兵</t>
    <phoneticPr fontId="18" type="noConversion"/>
  </si>
  <si>
    <t>佛经翻译</t>
    <phoneticPr fontId="18" type="noConversion"/>
  </si>
  <si>
    <t>策略-文化</t>
    <phoneticPr fontId="18" type="noConversion"/>
  </si>
  <si>
    <t>国子学</t>
    <phoneticPr fontId="18" type="noConversion"/>
  </si>
  <si>
    <t>太学</t>
    <phoneticPr fontId="18" type="noConversion"/>
  </si>
  <si>
    <t>5vp</t>
    <phoneticPr fontId="18" type="noConversion"/>
  </si>
  <si>
    <t>新亭清谈</t>
    <phoneticPr fontId="18" type="noConversion"/>
  </si>
  <si>
    <t>4vp</t>
    <phoneticPr fontId="18" type="noConversion"/>
  </si>
  <si>
    <t>策略-特殊</t>
    <phoneticPr fontId="18" type="noConversion"/>
  </si>
  <si>
    <t>华林苑</t>
  </si>
  <si>
    <t>著作郎</t>
    <phoneticPr fontId="18" type="noConversion"/>
  </si>
  <si>
    <t>礼乐征伐</t>
    <phoneticPr fontId="18" type="noConversion"/>
  </si>
  <si>
    <t>革除弊政</t>
    <phoneticPr fontId="18" type="noConversion"/>
  </si>
  <si>
    <t>事件牌</t>
    <phoneticPr fontId="18" type="noConversion"/>
  </si>
  <si>
    <t>事件-艺术</t>
    <phoneticPr fontId="18" type="noConversion"/>
  </si>
  <si>
    <t>菩萨木像</t>
    <phoneticPr fontId="18" type="noConversion"/>
  </si>
  <si>
    <t>胡笳羌笛</t>
    <phoneticPr fontId="18" type="noConversion"/>
  </si>
  <si>
    <t>清商乐</t>
    <phoneticPr fontId="18" type="noConversion"/>
  </si>
  <si>
    <t>事件-军事</t>
    <phoneticPr fontId="18" type="noConversion"/>
  </si>
  <si>
    <t>璇玑图</t>
    <phoneticPr fontId="18" type="noConversion"/>
  </si>
  <si>
    <t>投鞭断流</t>
    <phoneticPr fontId="18" type="noConversion"/>
  </si>
  <si>
    <t>凿壁偷光</t>
    <phoneticPr fontId="18" type="noConversion"/>
  </si>
  <si>
    <t>事件-文化</t>
    <phoneticPr fontId="18" type="noConversion"/>
  </si>
  <si>
    <t>良吏</t>
    <phoneticPr fontId="18" type="noConversion"/>
  </si>
  <si>
    <t>葛洪</t>
    <phoneticPr fontId="18" type="noConversion"/>
  </si>
  <si>
    <t>赫连勃勃</t>
    <phoneticPr fontId="18" type="noConversion"/>
  </si>
  <si>
    <t>卫夫人</t>
    <phoneticPr fontId="18" type="noConversion"/>
  </si>
  <si>
    <t>慧远</t>
    <phoneticPr fontId="18" type="noConversion"/>
  </si>
  <si>
    <t>掠夺</t>
    <phoneticPr fontId="18" type="noConversion"/>
  </si>
  <si>
    <t>徐道覆</t>
    <phoneticPr fontId="18" type="noConversion"/>
  </si>
  <si>
    <t>朱序</t>
    <phoneticPr fontId="18" type="noConversion"/>
  </si>
  <si>
    <t>免费[加固]1次。获得1军力。</t>
    <phoneticPr fontId="18" type="noConversion"/>
  </si>
  <si>
    <t>苏峻</t>
    <phoneticPr fontId="18" type="noConversion"/>
  </si>
  <si>
    <t>选择一项：支付3vp，然后获得5军力；或者支付3军力，存档此牌。</t>
    <phoneticPr fontId="18" type="noConversion"/>
  </si>
  <si>
    <t>谯纵</t>
    <phoneticPr fontId="18" type="noConversion"/>
  </si>
  <si>
    <t>遣使请降</t>
    <phoneticPr fontId="18" type="noConversion"/>
  </si>
  <si>
    <t>望风而降</t>
    <phoneticPr fontId="18" type="noConversion"/>
  </si>
  <si>
    <t>王国宝</t>
    <phoneticPr fontId="18" type="noConversion"/>
  </si>
  <si>
    <t>事件-权谋</t>
    <phoneticPr fontId="18" type="noConversion"/>
  </si>
  <si>
    <t>何充</t>
    <phoneticPr fontId="18" type="noConversion"/>
  </si>
  <si>
    <t>事件牌</t>
    <phoneticPr fontId="18" type="noConversion"/>
  </si>
  <si>
    <t>事件-权谋</t>
    <phoneticPr fontId="18" type="noConversion"/>
  </si>
  <si>
    <t>刘隗</t>
    <phoneticPr fontId="18" type="noConversion"/>
  </si>
  <si>
    <t>杨佺期</t>
    <phoneticPr fontId="18" type="noConversion"/>
  </si>
  <si>
    <t>[僭越]转化1个东晋占据地点，然后存档此牌。</t>
    <phoneticPr fontId="18" type="noConversion"/>
  </si>
  <si>
    <t>华阳国志</t>
    <phoneticPr fontId="18" type="noConversion"/>
  </si>
  <si>
    <t>事件-VP</t>
    <phoneticPr fontId="18" type="noConversion"/>
  </si>
  <si>
    <t>孙子算经</t>
    <phoneticPr fontId="18" type="noConversion"/>
  </si>
  <si>
    <t>流芳百世</t>
    <phoneticPr fontId="18" type="noConversion"/>
  </si>
  <si>
    <t>闻鸡起舞</t>
    <phoneticPr fontId="18" type="noConversion"/>
  </si>
  <si>
    <t>事件-功能</t>
    <phoneticPr fontId="18" type="noConversion"/>
  </si>
  <si>
    <t>标新立异</t>
    <phoneticPr fontId="18" type="noConversion"/>
  </si>
  <si>
    <t>大阅户人</t>
    <phoneticPr fontId="18" type="noConversion"/>
  </si>
  <si>
    <t>一往情深</t>
    <phoneticPr fontId="18" type="noConversion"/>
  </si>
  <si>
    <t>事件牌</t>
    <phoneticPr fontId="18" type="noConversion"/>
  </si>
  <si>
    <t>公共</t>
    <phoneticPr fontId="18" type="noConversion"/>
  </si>
  <si>
    <t>清君侧</t>
    <phoneticPr fontId="18" type="noConversion"/>
  </si>
  <si>
    <t>出任藩镇</t>
    <phoneticPr fontId="18" type="noConversion"/>
  </si>
  <si>
    <t>事件-权谋</t>
    <phoneticPr fontId="18" type="noConversion"/>
  </si>
  <si>
    <t>皮里阳秋</t>
    <phoneticPr fontId="18" type="noConversion"/>
  </si>
  <si>
    <t>艺术创作</t>
    <phoneticPr fontId="18" type="noConversion"/>
  </si>
  <si>
    <t>主动：1军力。被动：每次[进军]后，获得1vp。</t>
    <phoneticPr fontId="18" type="noConversion"/>
  </si>
  <si>
    <t>史书区有至少7张牌时，可以打出，存档此牌。</t>
    <phoneticPr fontId="18" type="noConversion"/>
  </si>
  <si>
    <t>控制[巴蜀]时，可以打出。存档此牌。</t>
    <phoneticPr fontId="18" type="noConversion"/>
  </si>
  <si>
    <t>控制[塞外]时，可以打出。存档此牌。将部队储备区的1个部队放回游戏盒中。</t>
    <phoneticPr fontId="18" type="noConversion"/>
  </si>
  <si>
    <t>被动：任意玩家提高行动顺位时，获得2vp。登场：先动值1。获得2顺位，2功绩和2威望，转化[合肥][寿春]。</t>
    <phoneticPr fontId="18" type="noConversion"/>
  </si>
  <si>
    <t>主动：选择1项：弃1张手牌，然后摸1张牌；或者弃置1张候选策略牌，然后补充1张牌到朝堂区。</t>
    <phoneticPr fontId="18" type="noConversion"/>
  </si>
  <si>
    <t>被动：每次打出[文化]牌或者执行[文化]策略时，获得2vp。登场：先动值3。转化[张掖][姑臧]。获得1功绩和1威望。</t>
    <phoneticPr fontId="18" type="noConversion"/>
  </si>
  <si>
    <t>如果有一条从[姑臧]到[建康]的全部地点被东晋势力占据的线路，可以打出，然后存档此牌。</t>
    <phoneticPr fontId="18" type="noConversion"/>
  </si>
  <si>
    <t>主动：1军力。被动：每次打出[军事]牌或执行[军事]策略后，获得1vp。</t>
    <phoneticPr fontId="18" type="noConversion"/>
  </si>
  <si>
    <t>仅限东晋玩家打出。行动：3军力。[僭越]其他每个东晋玩家各弃1张手牌。2军力。</t>
    <phoneticPr fontId="18" type="noConversion"/>
  </si>
  <si>
    <t>主动：支付2军力，然后转化1个相邻中立地点。</t>
    <phoneticPr fontId="18" type="noConversion"/>
  </si>
  <si>
    <t>被动：每次执行[内政]策略或者打出[内政]牌时，获得2vp。登场：先动值2。转化[吴][会稽]。获得1功绩和1威望。</t>
    <phoneticPr fontId="18" type="noConversion"/>
  </si>
  <si>
    <t>存档此牌。</t>
    <phoneticPr fontId="18" type="noConversion"/>
  </si>
  <si>
    <t>仅限东晋玩家打出。提高1级顺位。</t>
    <phoneticPr fontId="18" type="noConversion"/>
  </si>
  <si>
    <t>选择1个东晋玩家，随机弃掉他的1张手牌。获得2vp。[僭越]改为随机弃掉2张。</t>
    <phoneticPr fontId="18" type="noConversion"/>
  </si>
  <si>
    <t>占据[荆襄]区域任何地点时，可以打出，获得2军力，然后存档此牌。</t>
    <phoneticPr fontId="18" type="noConversion"/>
  </si>
  <si>
    <t>阳骛</t>
    <phoneticPr fontId="18" type="noConversion"/>
  </si>
  <si>
    <t>行动：存档1张候选策略牌，获得1vp。被动：打出时，提高1级[儒学]。</t>
    <phoneticPr fontId="18" type="noConversion"/>
  </si>
  <si>
    <t>6/16</t>
    <phoneticPr fontId="18" type="noConversion"/>
  </si>
  <si>
    <t>16/22</t>
    <phoneticPr fontId="18" type="noConversion"/>
  </si>
  <si>
    <t>14/20</t>
    <phoneticPr fontId="18" type="noConversion"/>
  </si>
  <si>
    <t>11/16</t>
    <phoneticPr fontId="18" type="noConversion"/>
  </si>
  <si>
    <t>东晋控制[荆襄]区域</t>
    <phoneticPr fontId="18" type="noConversion"/>
  </si>
  <si>
    <t>玩家控制[荆襄]区域</t>
    <phoneticPr fontId="18" type="noConversion"/>
  </si>
  <si>
    <t>获得6vp。</t>
    <phoneticPr fontId="18" type="noConversion"/>
  </si>
  <si>
    <t>著书立说</t>
    <phoneticPr fontId="18" type="noConversion"/>
  </si>
  <si>
    <t>事件-权谋</t>
    <phoneticPr fontId="18" type="noConversion"/>
  </si>
  <si>
    <t>不越雷池半步</t>
    <phoneticPr fontId="18" type="noConversion"/>
  </si>
  <si>
    <t>事件牌</t>
    <phoneticPr fontId="18" type="noConversion"/>
  </si>
  <si>
    <t>控制[西凉]时，可以打出。存档此牌。将部队储备区的2个部队放回游戏盒中。</t>
    <phoneticPr fontId="18" type="noConversion"/>
  </si>
  <si>
    <t>控制[幽燕]时，可以打出。存档此牌。将部队储备区的2个部队放回游戏盒中。</t>
    <phoneticPr fontId="18" type="noConversion"/>
  </si>
  <si>
    <t>摸2张牌，然后存档此牌。</t>
    <phoneticPr fontId="18" type="noConversion"/>
  </si>
  <si>
    <t>拥有至少7军力时，可以作为事件打出。转化1个相邻非友方地点。</t>
    <phoneticPr fontId="18" type="noConversion"/>
  </si>
  <si>
    <t>主动：支付2军力，存档1张候选策略牌。</t>
    <phoneticPr fontId="18" type="noConversion"/>
  </si>
  <si>
    <t>在本国弃牌区放置1张[流民]。转化1个非[江南][荆襄]区域的中立地点。</t>
    <phoneticPr fontId="18" type="noConversion"/>
  </si>
  <si>
    <t>行动：2军力2vp，然后补充1张牌到朝堂区。</t>
    <phoneticPr fontId="18" type="noConversion"/>
  </si>
  <si>
    <t>官僚制度</t>
    <phoneticPr fontId="18" type="noConversion"/>
  </si>
  <si>
    <t>行动：获得2军力。免费[加固]2次。</t>
    <phoneticPr fontId="18" type="noConversion"/>
  </si>
  <si>
    <t>行动：3军力。选择1个玩家，随机弃置1张手牌。被动：需要控制[幽燕]或[塞外]，才能打出或执行。</t>
    <phoneticPr fontId="18" type="noConversion"/>
  </si>
  <si>
    <t>行动：选择另一名玩家，提高1级[佛学]。获得10vp。</t>
    <phoneticPr fontId="18" type="noConversion"/>
  </si>
  <si>
    <t>总督区</t>
    <phoneticPr fontId="18" type="noConversion"/>
  </si>
  <si>
    <t>主动：选择1项：摸1张牌；或者征发1张候选策略牌。</t>
    <phoneticPr fontId="18" type="noConversion"/>
  </si>
  <si>
    <t>被动：每当任意玩家打出[艺术]牌或执行[艺术]策略时，获得2vp。</t>
    <phoneticPr fontId="18" type="noConversion"/>
  </si>
  <si>
    <t>主动：支付2军力，免费[进军]1次。登场：转化1个司马家占据地点。</t>
    <phoneticPr fontId="18" type="noConversion"/>
  </si>
  <si>
    <t>配享文庙</t>
    <phoneticPr fontId="18" type="noConversion"/>
  </si>
  <si>
    <t>功绩大于等于7</t>
    <phoneticPr fontId="18" type="noConversion"/>
  </si>
  <si>
    <t>10/18</t>
    <phoneticPr fontId="18" type="noConversion"/>
  </si>
  <si>
    <t>配享武庙</t>
    <phoneticPr fontId="18" type="noConversion"/>
  </si>
  <si>
    <t>人何以堪</t>
    <phoneticPr fontId="18" type="noConversion"/>
  </si>
  <si>
    <t>北方玩家每在一个区域存在，东晋获得1vp。</t>
    <phoneticPr fontId="18" type="noConversion"/>
  </si>
  <si>
    <t>传播1次文化，获得2vp。</t>
    <phoneticPr fontId="18" type="noConversion"/>
  </si>
  <si>
    <t>通用</t>
    <phoneticPr fontId="18" type="noConversion"/>
  </si>
  <si>
    <t>公共</t>
    <phoneticPr fontId="18" type="noConversion"/>
  </si>
  <si>
    <t>顾荣</t>
    <phoneticPr fontId="18" type="noConversion"/>
  </si>
  <si>
    <t>强制：选择1个[功绩]最高的玩家，该玩家-1[功绩]并+6vp。摸1张牌。</t>
    <phoneticPr fontId="18" type="noConversion"/>
  </si>
  <si>
    <t>被动：每次获得功绩后，摸1张牌。登场：先动值8。获得2功绩（不触发被动效果）。在其他东晋玩家完成登场效果后，转化2个[建康]以外的司马家地点。</t>
    <phoneticPr fontId="18" type="noConversion"/>
  </si>
  <si>
    <t>检索2次[策略]，然后存档此牌。</t>
    <phoneticPr fontId="18" type="noConversion"/>
  </si>
  <si>
    <t>检索2次[幕僚]，然后存档此牌。</t>
    <phoneticPr fontId="18" type="noConversion"/>
  </si>
  <si>
    <t>被动：当你的[威望]是并列最高时，也可以执行[僭越]效果。每次执行[僭越]效果时，获得X vp，X=你的[权谋]标记数。</t>
    <phoneticPr fontId="18" type="noConversion"/>
  </si>
  <si>
    <t>不投掷君主骰</t>
    <phoneticPr fontId="18" type="noConversion"/>
  </si>
  <si>
    <t>家财万贯</t>
    <phoneticPr fontId="18" type="noConversion"/>
  </si>
  <si>
    <t>6/12</t>
    <phoneticPr fontId="18" type="noConversion"/>
  </si>
  <si>
    <t>手牌超过5张</t>
    <phoneticPr fontId="18" type="noConversion"/>
  </si>
  <si>
    <t>手牌超过8张</t>
    <phoneticPr fontId="18" type="noConversion"/>
  </si>
  <si>
    <t>儒学贡献超过3</t>
    <phoneticPr fontId="18" type="noConversion"/>
  </si>
  <si>
    <t>玄学贡献超过3</t>
    <phoneticPr fontId="18" type="noConversion"/>
  </si>
  <si>
    <t>佛学贡献超过3</t>
    <phoneticPr fontId="18" type="noConversion"/>
  </si>
  <si>
    <t>友方控制[巴蜀]时，可以打出。存档此牌，传播1次[儒学]。</t>
    <phoneticPr fontId="18" type="noConversion"/>
  </si>
  <si>
    <t>有至少3个[文化]符号时，可以打出，存档此牌。</t>
    <phoneticPr fontId="18" type="noConversion"/>
  </si>
  <si>
    <t>衣冠南渡</t>
    <phoneticPr fontId="18" type="noConversion"/>
  </si>
  <si>
    <t>传播1次[玄学]，然后存档此牌。</t>
    <phoneticPr fontId="18" type="noConversion"/>
  </si>
  <si>
    <t>传播1次[儒学]，然后存档此牌。</t>
    <phoneticPr fontId="18" type="noConversion"/>
  </si>
  <si>
    <t>传播1次[佛学]，然后存档此牌。</t>
    <phoneticPr fontId="18" type="noConversion"/>
  </si>
  <si>
    <t>友方控制[江南]时，可以打出。传播1次[儒学]，存档此牌。</t>
    <phoneticPr fontId="18" type="noConversion"/>
  </si>
  <si>
    <t>事件牌</t>
    <phoneticPr fontId="18" type="noConversion"/>
  </si>
  <si>
    <t>事件-机制</t>
    <phoneticPr fontId="18" type="noConversion"/>
  </si>
  <si>
    <t>强制：如果[儒学]区域数&gt;=[玄学]区域数，司马家威望+1；否则司马家威望-1。摸1张牌。</t>
    <phoneticPr fontId="18" type="noConversion"/>
  </si>
  <si>
    <t>天师道</t>
    <phoneticPr fontId="18" type="noConversion"/>
  </si>
  <si>
    <t>名教之争</t>
    <phoneticPr fontId="18" type="noConversion"/>
  </si>
  <si>
    <t>1军力3vp</t>
    <phoneticPr fontId="18" type="noConversion"/>
  </si>
  <si>
    <t>行动：传播1次[佛学]。获得X vp，X=[文化]标记数。</t>
    <phoneticPr fontId="18" type="noConversion"/>
  </si>
  <si>
    <t>选择1个东晋玩家，该玩家失去1军力。然后，获得1军力。[僭越]存档此牌，获得1军力。</t>
    <phoneticPr fontId="18" type="noConversion"/>
  </si>
  <si>
    <t>检索2次[文化]，然后存档此牌。</t>
    <phoneticPr fontId="18" type="noConversion"/>
  </si>
  <si>
    <t>检索2次[权谋]，然后存档此牌。</t>
    <phoneticPr fontId="18" type="noConversion"/>
  </si>
  <si>
    <t>鸩酒</t>
    <phoneticPr fontId="18" type="noConversion"/>
  </si>
  <si>
    <t>事件-权谋</t>
    <phoneticPr fontId="18" type="noConversion"/>
  </si>
  <si>
    <t>焉能有功</t>
    <phoneticPr fontId="18" type="noConversion"/>
  </si>
  <si>
    <t>顺位最低时可以打出。提高2级顺位，然后存档此牌。</t>
    <phoneticPr fontId="18" type="noConversion"/>
  </si>
  <si>
    <t>幕僚牌</t>
    <phoneticPr fontId="18" type="noConversion"/>
  </si>
  <si>
    <t>[儒学]贡献度&gt;1时，可以作为事件打出。存档1张候选策略牌，传播1次[儒学]。</t>
    <phoneticPr fontId="18" type="noConversion"/>
  </si>
  <si>
    <t>传播1次[玄学]，存档此牌。</t>
    <phoneticPr fontId="18" type="noConversion"/>
  </si>
  <si>
    <t>被动：每当友方传播1次文化时，获得1vp。主动：选择1个版图上的文化标记翻面。</t>
    <phoneticPr fontId="18" type="noConversion"/>
  </si>
  <si>
    <t>求田问舍</t>
    <phoneticPr fontId="18" type="noConversion"/>
  </si>
  <si>
    <t>主动：从手牌免费打出1张[幕僚]，然后存档此牌。</t>
    <phoneticPr fontId="18" type="noConversion"/>
  </si>
  <si>
    <t>被动：每当[佛学]标记放置到版图上时，摸1张牌。主动：选择1个版图上的文化标记翻面。</t>
    <phoneticPr fontId="18" type="noConversion"/>
  </si>
  <si>
    <t>提高1级顺位，传播1次[玄学]。</t>
    <phoneticPr fontId="18" type="noConversion"/>
  </si>
  <si>
    <t>行动：5军力。从[晋]面板获得[北伐]标记。被动：[儒学]等级&gt;1时，可以打出或执行。</t>
    <phoneticPr fontId="18" type="noConversion"/>
  </si>
  <si>
    <t>2军力2vp</t>
    <phoneticPr fontId="18" type="noConversion"/>
  </si>
  <si>
    <t>分久必合</t>
    <phoneticPr fontId="18" type="noConversion"/>
  </si>
  <si>
    <t>提高1级顺位，传播1次[佛学]，存档此牌</t>
    <phoneticPr fontId="18" type="noConversion"/>
  </si>
  <si>
    <t>在本国弃牌区加入1张[流民]，然后获得4军力。如果是北方玩家，额外获得1军力。</t>
    <phoneticPr fontId="18" type="noConversion"/>
  </si>
  <si>
    <t>行动：进行1次免费[占据]，放置司马家部队，提高1级司马家[威望]。然后获得2军力，传播1次[儒学]，获得3vp。</t>
    <phoneticPr fontId="18" type="noConversion"/>
  </si>
  <si>
    <t>7vp。如果[玄学]贡献度&gt;1，额外获得4vp</t>
    <phoneticPr fontId="18" type="noConversion"/>
  </si>
  <si>
    <t>选择1个非东晋占据的[儒学]区域的地点，转为司马家占据。获得3vp。[僭越]改为玩家占据。</t>
    <phoneticPr fontId="18" type="noConversion"/>
  </si>
  <si>
    <t>风声鹤唳，草木皆兵</t>
    <phoneticPr fontId="18" type="noConversion"/>
  </si>
  <si>
    <t>世说新语</t>
    <phoneticPr fontId="18" type="noConversion"/>
  </si>
  <si>
    <t>8/16</t>
    <phoneticPr fontId="18" type="noConversion"/>
  </si>
  <si>
    <t>史书区有8张牌</t>
    <phoneticPr fontId="18" type="noConversion"/>
  </si>
  <si>
    <t>史书区有5张牌</t>
    <phoneticPr fontId="18" type="noConversion"/>
  </si>
  <si>
    <t>功绩等于9</t>
    <phoneticPr fontId="18" type="noConversion"/>
  </si>
  <si>
    <t>威望等于9，且没有完成[加九锡]</t>
    <phoneticPr fontId="18" type="noConversion"/>
  </si>
  <si>
    <t>8/30</t>
    <phoneticPr fontId="18" type="noConversion"/>
  </si>
  <si>
    <t>威望最高，且超过第二名至少3点。</t>
    <phoneticPr fontId="18" type="noConversion"/>
  </si>
  <si>
    <t>3军力-1vp</t>
    <phoneticPr fontId="18" type="noConversion"/>
  </si>
  <si>
    <t>轻骑兵</t>
    <phoneticPr fontId="18" type="noConversion"/>
  </si>
  <si>
    <t>策略牌</t>
    <phoneticPr fontId="18" type="noConversion"/>
  </si>
  <si>
    <t>初始</t>
    <phoneticPr fontId="18" type="noConversion"/>
  </si>
  <si>
    <t>行动：6vp</t>
    <phoneticPr fontId="18" type="noConversion"/>
  </si>
  <si>
    <t>2vp</t>
    <phoneticPr fontId="18" type="noConversion"/>
  </si>
  <si>
    <t>清谈</t>
    <phoneticPr fontId="18" type="noConversion"/>
  </si>
  <si>
    <t>3军力</t>
    <phoneticPr fontId="18" type="noConversion"/>
  </si>
  <si>
    <t>主动：1军力。登场：转化2个相邻中立地点。被动：此牌离开幕僚区时，将2个己方控制地点转化为中立地点。</t>
    <phoneticPr fontId="18" type="noConversion"/>
  </si>
  <si>
    <t>主动：支付3军力，在东晋弃牌区放置1张[流民]。然后，司马家和宰辅各失去X vp，X=东晋朝堂区的[流民]数。</t>
    <phoneticPr fontId="18" type="noConversion"/>
  </si>
  <si>
    <t>主动：支付3军力，将1个玄学区域的地点转为中立控制。然后，司马家和宰辅各失去X vp，X=[江南][荆襄][淮南]的中立地点数。</t>
    <phoneticPr fontId="18" type="noConversion"/>
  </si>
  <si>
    <t>2军力1vp</t>
    <phoneticPr fontId="18" type="noConversion"/>
  </si>
  <si>
    <t>行动：获得5军力。被动：占据[京口]时，才能打出、执行或征发。</t>
    <phoneticPr fontId="18" type="noConversion"/>
  </si>
  <si>
    <t>被动：每次存档1张牌时，获得2vp。登场：先动值4。转化[南郡][襄阳]。获得1功绩和1威望。</t>
    <phoneticPr fontId="18" type="noConversion"/>
  </si>
  <si>
    <t>主动：[进军]1次，费用减2。被动：每次结算[进军]后，获得1vp。</t>
    <phoneticPr fontId="18" type="noConversion"/>
  </si>
  <si>
    <t>被动：每次结算[转化]后，摸1张牌并获得1vp。登场：先动值6。获得4军力。获得2威望。</t>
    <phoneticPr fontId="18" type="noConversion"/>
  </si>
  <si>
    <t>主动：免费[加固]友方地点1次。如果[加固]的目标不是你占据的地点，额外获得1vp。</t>
    <phoneticPr fontId="18" type="noConversion"/>
  </si>
  <si>
    <t>行动：2军力。选择1个玩家，随机抽取他的1张手牌。</t>
    <phoneticPr fontId="18" type="noConversion"/>
  </si>
  <si>
    <t>行动：提高1级[佛学]贡献度，从供应轨移除1个[佛学]标记，获得4vp。</t>
    <phoneticPr fontId="18" type="noConversion"/>
  </si>
  <si>
    <t>主动：弃1张手牌，然后摸1张牌，可以执行1个手牌行动。登场：转化[长安][弘农][安定]（不获得vp）</t>
    <phoneticPr fontId="18" type="noConversion"/>
  </si>
  <si>
    <t>主动：弃1张手牌，然后摸1张牌，可以执行1个牌组行动。登场：转化[蓟][龙城][中山]（不获得vp）</t>
    <phoneticPr fontId="18" type="noConversion"/>
  </si>
  <si>
    <t>行动：传播1次[佛学]，获得2vp。</t>
    <phoneticPr fontId="18" type="noConversion"/>
  </si>
  <si>
    <t>行动：支付1军力，存档1张候选策略牌，传播1次[儒学]。</t>
    <phoneticPr fontId="18" type="noConversion"/>
  </si>
  <si>
    <t>6vp</t>
    <phoneticPr fontId="18" type="noConversion"/>
  </si>
  <si>
    <t>控制[关中]时，可以打出。提高2级佛学贡献度，从供应轨移除2个[佛学]标记，存档此牌。</t>
    <phoneticPr fontId="18" type="noConversion"/>
  </si>
  <si>
    <t>[威望]最高的东晋玩家，失去2[威望]。[僭越]改为选择1个东晋玩家，失去2[威望]，存档此牌。</t>
    <phoneticPr fontId="18" type="noConversion"/>
  </si>
  <si>
    <t>主动：支付1军力，选择[文化][内政][军事]或[权谋]标记，检索该标记。</t>
    <phoneticPr fontId="18" type="noConversion"/>
  </si>
  <si>
    <t>文化贡献度之和最低的玩家可以打出，存档此牌。</t>
    <phoneticPr fontId="18" type="noConversion"/>
  </si>
  <si>
    <t>具装甲骑</t>
    <phoneticPr fontId="18" type="noConversion"/>
  </si>
  <si>
    <t>通用</t>
    <phoneticPr fontId="18" type="noConversion"/>
  </si>
  <si>
    <t>行动：征发2张候选策略牌并补充1张牌到朝堂区。获得1军力。</t>
    <phoneticPr fontId="18" type="noConversion"/>
  </si>
  <si>
    <t>行动：9vp</t>
    <phoneticPr fontId="18" type="noConversion"/>
  </si>
  <si>
    <t>行动：存档1张候选策略牌，征发1张候选策略牌。</t>
    <phoneticPr fontId="18" type="noConversion"/>
  </si>
  <si>
    <t>东晋行动：6vp，司马家获得7vp；北方行动：9vp</t>
    <phoneticPr fontId="18" type="noConversion"/>
  </si>
  <si>
    <t>选贤举能</t>
    <phoneticPr fontId="18" type="noConversion"/>
  </si>
  <si>
    <t>行动：免费[进军]1次。获得3军力。</t>
    <phoneticPr fontId="18" type="noConversion"/>
  </si>
  <si>
    <t>3军力</t>
    <phoneticPr fontId="18" type="noConversion"/>
  </si>
  <si>
    <t>1军力</t>
    <phoneticPr fontId="18" type="noConversion"/>
  </si>
  <si>
    <t>具有至少4个不同的标记时，可以打出。存档此牌。</t>
    <phoneticPr fontId="18" type="noConversion"/>
  </si>
  <si>
    <t>拥有3个权谋标记</t>
    <phoneticPr fontId="18" type="noConversion"/>
  </si>
  <si>
    <t>拥有5个权谋标记</t>
    <phoneticPr fontId="18" type="noConversion"/>
  </si>
  <si>
    <t>威望超过6</t>
    <phoneticPr fontId="18" type="noConversion"/>
  </si>
  <si>
    <t>威望超过6，且没有完成[加九锡]</t>
    <phoneticPr fontId="18" type="noConversion"/>
  </si>
  <si>
    <t>1军力2vp</t>
    <phoneticPr fontId="18" type="noConversion"/>
  </si>
  <si>
    <t>主动：获得X军力，X=[军事]标记数（最多4）。</t>
    <phoneticPr fontId="18" type="noConversion"/>
  </si>
  <si>
    <t>主动：弃1张手牌，然后摸1张牌，获得X军力，X=[军事]标记数（最多6）。登场：转化[盛乐][平城]（不获得vp），获得4军力。</t>
    <phoneticPr fontId="18" type="noConversion"/>
  </si>
  <si>
    <t>支付2vp，然后存档1张候选策略牌。</t>
    <phoneticPr fontId="18" type="noConversion"/>
  </si>
  <si>
    <t>行动：提高1级文化贡献度，从文化轨上移除1个对应的文化标记。获得X vp，X=文化贡献度之和。</t>
    <phoneticPr fontId="18" type="noConversion"/>
  </si>
  <si>
    <t>主动：支付3军力，传播1次文化。然后，获得X vp，X=文化贡献等级之和。</t>
    <phoneticPr fontId="18" type="noConversion"/>
  </si>
  <si>
    <t>幕僚区有空位时，可以打出。获得8军力，然后将此牌洗回牌库。</t>
    <phoneticPr fontId="18" type="noConversion"/>
  </si>
  <si>
    <t>主动：获得X vp，X=[文化]标记数。然后，可以支付2vp，摸1张牌。</t>
    <phoneticPr fontId="18" type="noConversion"/>
  </si>
  <si>
    <t>存档此牌。终局：获得X vp，X=北方和东晋国家牌库中[流民]的数量。</t>
    <phoneticPr fontId="18" type="noConversion"/>
  </si>
  <si>
    <t>存档此牌。终局：获得X vp，X=存在你的部队的区域数量。</t>
    <phoneticPr fontId="18" type="noConversion"/>
  </si>
  <si>
    <t>行动：支付2vp，获得5军力。</t>
    <phoneticPr fontId="18" type="noConversion"/>
  </si>
  <si>
    <t>摸2张牌。</t>
    <phoneticPr fontId="18" type="noConversion"/>
  </si>
  <si>
    <t>被动：幕僚区空位总数为6。主动：如果拥有4种不同的标记各1个，获得1个朝堂行动；否则，可以打出1张幕僚牌。登场：先动值7。</t>
    <phoneticPr fontId="18" type="noConversion"/>
  </si>
  <si>
    <t>强制：选择1个[幕僚]区空位最少的玩家，该玩家选择1个费用最高的[幕僚]存档。摸1张牌。</t>
    <phoneticPr fontId="18" type="noConversion"/>
  </si>
  <si>
    <t>强制：在东晋弃牌区各放置1张[流民]，北方玩家弃1张手牌。摸1张牌。</t>
    <phoneticPr fontId="18" type="noConversion"/>
  </si>
  <si>
    <t>儒学贡献超过5，且儒学轨道露出的空格最多</t>
    <phoneticPr fontId="18" type="noConversion"/>
  </si>
  <si>
    <t>玄学贡献超过5，且玄学轨道露出的空格最多</t>
    <phoneticPr fontId="18" type="noConversion"/>
  </si>
  <si>
    <t>佛学贡献超过5，且佛学轨道露出的空格最多</t>
    <phoneticPr fontId="18" type="noConversion"/>
  </si>
  <si>
    <t>-</t>
    <phoneticPr fontId="18" type="noConversion"/>
  </si>
  <si>
    <t>行动：支付1张手牌，提高1级顺位，传播1次[玄学]。被动：[加官进爵]不能被存档、征发或弃置。</t>
    <phoneticPr fontId="18" type="noConversion"/>
  </si>
  <si>
    <t>主动：打出1张[军事]牌或征发1张[军事]候选策略牌，然后摸1张牌。</t>
    <phoneticPr fontId="18" type="noConversion"/>
  </si>
  <si>
    <t>行动：2军力。从东晋面板获得[北伐]标记。被动：[北伐]不能被存档、征发或弃置。</t>
    <phoneticPr fontId="18" type="noConversion"/>
  </si>
  <si>
    <t>行动：2军力。本回合执行[进军]时，获得1vp。被动：需要控制[幽燕]，才能打出、执行或征发。</t>
    <phoneticPr fontId="18" type="noConversion"/>
  </si>
  <si>
    <t>行动：2军力。本回合执行[进军]时，获得1vp。被动：控制[西凉]时，才能打出、执行或征发。</t>
    <phoneticPr fontId="18" type="noConversion"/>
  </si>
  <si>
    <t>行动：2军力，存档此牌。被动：此牌在朝堂区中时，北方和晋玩家不能相互使用[进军]。</t>
    <phoneticPr fontId="18" type="noConversion"/>
  </si>
  <si>
    <t>拔才取士</t>
    <phoneticPr fontId="18" type="noConversion"/>
  </si>
  <si>
    <t>主动：2军力，弃1张手牌，然后摸1张手牌。</t>
    <phoneticPr fontId="18" type="noConversion"/>
  </si>
  <si>
    <t>主动：弃1张手牌，然后摸1张牌。可以支付2军力，转化1个相邻中立地点。</t>
    <phoneticPr fontId="18" type="noConversion"/>
  </si>
  <si>
    <t>行动：转化1个相邻中立地点。获得2军力。</t>
    <phoneticPr fontId="18" type="noConversion"/>
  </si>
  <si>
    <t>行动：转化1个相邻中立地点，然后可以打出1张幕僚牌。</t>
    <phoneticPr fontId="18" type="noConversion"/>
  </si>
  <si>
    <t>被动：每次存档或弃置[流民]时，获得1军力。登场：先动值5。转化[京口][广陵]。获得1功绩和1威望。</t>
    <phoneticPr fontId="18" type="noConversion"/>
  </si>
  <si>
    <t>主动：打出1张[文化]牌或征发1张[文化]候选策略牌。</t>
    <phoneticPr fontId="18" type="noConversion"/>
  </si>
  <si>
    <t>主动：弃1张手牌，弃置1张候选策略牌，然后摸1张手牌并补充1张牌到朝堂区</t>
    <phoneticPr fontId="18" type="noConversion"/>
  </si>
  <si>
    <t>主动：打出1张[军事]牌或征发1张[军事]候选策略牌。</t>
    <phoneticPr fontId="18" type="noConversion"/>
  </si>
  <si>
    <t>[僭越]重洗当前君主牌，并根据牌面描述重置司马家威望，获得1威望，然后存档此牌。</t>
    <phoneticPr fontId="18" type="noConversion"/>
  </si>
  <si>
    <t>占据[洛阳]时，可以打出。存档此牌。[僭越]交换东晋首都和洛阳的部队。获得1[威望]。</t>
    <phoneticPr fontId="18" type="noConversion"/>
  </si>
  <si>
    <t>转化[太原][平阳]，然后存档此牌。</t>
    <phoneticPr fontId="18" type="noConversion"/>
  </si>
  <si>
    <t>行动：3军力。[僭越]其他每个东晋玩家各弃1张手牌。3军力。</t>
    <phoneticPr fontId="18" type="noConversion"/>
  </si>
  <si>
    <t>可以依次打出2张手牌。</t>
    <phoneticPr fontId="18" type="noConversion"/>
  </si>
  <si>
    <t>行动：传播1次文化，然后可以打出1张手牌。</t>
    <phoneticPr fontId="18" type="noConversion"/>
  </si>
  <si>
    <t>存档1张幕僚牌，然后存档此牌。</t>
    <phoneticPr fontId="18" type="noConversion"/>
  </si>
  <si>
    <t>行动：支付1vp，传播1次[儒学]，可以打出1张手牌。</t>
    <phoneticPr fontId="18" type="noConversion"/>
  </si>
  <si>
    <t>[佛学]贡献度&gt;1时，可以打出。支付2vp，然后转化1个东晋地点。</t>
    <phoneticPr fontId="18" type="noConversion"/>
  </si>
  <si>
    <t>转化1个东晋地点，然后存档此牌。[僭越]获得1威望。</t>
    <phoneticPr fontId="18" type="noConversion"/>
  </si>
  <si>
    <t>提高1级顺位，然后存档此牌。[僭越]额外提高1级顺位。</t>
    <phoneticPr fontId="18" type="noConversion"/>
  </si>
  <si>
    <t>选择1个东晋玩家，降低1级顺位，然后存档此牌。[僭越]额外降低1级顺位。</t>
    <phoneticPr fontId="18" type="noConversion"/>
  </si>
  <si>
    <t>主动：没有手牌时可以使用，摸1张牌，获得1军力。</t>
    <phoneticPr fontId="18" type="noConversion"/>
  </si>
  <si>
    <t>被动：结算[僭越]效果时，获得3vp。</t>
    <phoneticPr fontId="18" type="noConversion"/>
  </si>
  <si>
    <t>行动：3军力。摸1张牌。</t>
    <phoneticPr fontId="18" type="noConversion"/>
  </si>
  <si>
    <t>东晋行动：3军力。免费[加固]1次。北方行动：转化1个中立地点，获得1军力。</t>
    <phoneticPr fontId="18" type="noConversion"/>
  </si>
  <si>
    <t>获得7军力。存档此牌。</t>
    <phoneticPr fontId="18" type="noConversion"/>
  </si>
  <si>
    <t>行动：摸3张牌。如果你的[内政]标记数&gt;2，额外摸1张牌。</t>
    <phoneticPr fontId="18" type="noConversion"/>
  </si>
  <si>
    <t>行动：摸2张牌。如果[内政]标记数&gt;2，额外摸1张牌。</t>
    <phoneticPr fontId="18" type="noConversion"/>
  </si>
  <si>
    <t>存档1个幕僚，然后选择1个友方玩家的幕僚，该玩家存档被选择的幕僚。[僭越]改为选择1个友方玩家的幕僚，该玩家存档被选择的幕僚。</t>
    <phoneticPr fontId="18" type="noConversion"/>
  </si>
  <si>
    <t>支付7军力。选择威望、功绩或者顺位，提高1级，其他所有东晋玩家降低1级。[僭越]司马家威望降低1级，获得4vp。</t>
    <phoneticPr fontId="18" type="noConversion"/>
  </si>
  <si>
    <t>降低1点[威望]或[功绩]，转化1个司马家地点。[僭越]可以转化1个东晋玩家地点。</t>
    <phoneticPr fontId="18" type="noConversion"/>
  </si>
  <si>
    <t>中庸</t>
    <phoneticPr fontId="18" type="noConversion"/>
  </si>
  <si>
    <t>行动：3军力，存档此牌。被动：每回合前3次[进军]时，费用减1。区域奖励改为0/1vp。</t>
    <phoneticPr fontId="18" type="noConversion"/>
  </si>
  <si>
    <t>行动：选择1个东晋玩家，给予其1张手牌。传播1次文化，转化1个相邻中立地点。</t>
    <phoneticPr fontId="18" type="noConversion"/>
  </si>
  <si>
    <t>行动：传播1次[玄学]。打出1张不含[军事]标记的手牌。</t>
    <phoneticPr fontId="18" type="noConversion"/>
  </si>
  <si>
    <t>选择一项：将[关中]的1个未加固地点转化为中立占据，然后将此牌洗回牌库；或者支付5军力，存档此牌。</t>
    <phoneticPr fontId="18" type="noConversion"/>
  </si>
  <si>
    <t>强制：选择1个[玄学]区域的未加固地点，转为中立控制。摸1张牌。</t>
    <phoneticPr fontId="18" type="noConversion"/>
  </si>
  <si>
    <t>选择一项：将[江南]或[荆襄]的1个未加固地点转化为中立占据，然后将此牌洗回牌库；或者支付4军力，存档此牌。</t>
    <phoneticPr fontId="18" type="noConversion"/>
  </si>
  <si>
    <t>选择一项：将[巴蜀]区域的1个未加固地点转为中立占据，然后将此牌洗回牌库；或者支付3军力，然后存档此牌。</t>
    <phoneticPr fontId="18" type="noConversion"/>
  </si>
  <si>
    <t>主动：支付1军力1vp，提高1级顺位等级。被动：需要[儒学]等级&gt;0，才能打出。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</si>
</sst>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 tint="-0.34998626667073579"/>
      <name val="等线"/>
      <family val="2"/>
      <charset val="134"/>
      <scheme val="minor"/>
    </font>
    <font>
      <sz val="11"/>
      <color theme="0" tint="-0.3499862666707357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D2AC-3DB2-4150-B4F1-18D43C823332}">
  <dimension ref="A1:AJ152"/>
  <sheetViews>
    <sheetView tabSelected="1" zoomScale="125" zoomScaleNormal="12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7" sqref="H27"/>
    </sheetView>
  </sheetViews>
  <sheetFormatPr defaultRowHeight="14" x14ac:dyDescent="0.3"/>
  <cols>
    <col min="3" max="3" width="8.75" customWidth="1"/>
    <col min="5" max="5" width="10.1640625" customWidth="1"/>
    <col min="6" max="6" width="65.83203125" customWidth="1"/>
    <col min="7" max="32" width="8.664062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168</v>
      </c>
      <c r="F1" t="s">
        <v>229</v>
      </c>
      <c r="G1" t="s">
        <v>4</v>
      </c>
      <c r="H1" t="s">
        <v>5</v>
      </c>
      <c r="I1" t="s">
        <v>6</v>
      </c>
      <c r="J1" t="s">
        <v>7</v>
      </c>
      <c r="K1" t="s">
        <v>174</v>
      </c>
      <c r="L1" t="s">
        <v>8</v>
      </c>
      <c r="M1" t="s">
        <v>79</v>
      </c>
      <c r="N1" t="s">
        <v>80</v>
      </c>
      <c r="O1" t="s">
        <v>91</v>
      </c>
      <c r="P1" t="s">
        <v>179</v>
      </c>
      <c r="Q1" t="s">
        <v>138</v>
      </c>
      <c r="R1" t="s">
        <v>139</v>
      </c>
      <c r="S1" t="s">
        <v>140</v>
      </c>
      <c r="T1" t="s">
        <v>172</v>
      </c>
      <c r="U1" t="s">
        <v>141</v>
      </c>
      <c r="V1" t="s">
        <v>142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151</v>
      </c>
      <c r="AD1" t="s">
        <v>149</v>
      </c>
      <c r="AE1" t="s">
        <v>173</v>
      </c>
      <c r="AF1" t="s">
        <v>285</v>
      </c>
      <c r="AG1" t="s">
        <v>150</v>
      </c>
      <c r="AH1" t="s">
        <v>158</v>
      </c>
      <c r="AI1" t="s">
        <v>159</v>
      </c>
      <c r="AJ1" t="s">
        <v>160</v>
      </c>
    </row>
    <row r="2" spans="1:36" x14ac:dyDescent="0.3">
      <c r="A2" t="s">
        <v>9</v>
      </c>
      <c r="C2" s="1">
        <f>AVERAGE(C12:C165)</f>
        <v>1.4122137404580153</v>
      </c>
      <c r="I2">
        <f t="shared" ref="I2:O2" si="0">SUM(I3:I165)</f>
        <v>35</v>
      </c>
      <c r="J2">
        <f t="shared" si="0"/>
        <v>46</v>
      </c>
      <c r="K2">
        <f t="shared" si="0"/>
        <v>28</v>
      </c>
      <c r="L2">
        <f t="shared" si="0"/>
        <v>34</v>
      </c>
      <c r="M2">
        <f t="shared" si="0"/>
        <v>18</v>
      </c>
      <c r="N2">
        <f t="shared" si="0"/>
        <v>3</v>
      </c>
      <c r="O2">
        <f t="shared" si="0"/>
        <v>13</v>
      </c>
      <c r="Q2">
        <f t="shared" ref="Q2:AF2" si="1">SUM(Q3:Q165)</f>
        <v>10</v>
      </c>
      <c r="R2">
        <f t="shared" si="1"/>
        <v>7</v>
      </c>
      <c r="S2">
        <f t="shared" si="1"/>
        <v>8</v>
      </c>
      <c r="T2">
        <f t="shared" si="1"/>
        <v>5</v>
      </c>
      <c r="U2">
        <f t="shared" si="1"/>
        <v>12</v>
      </c>
      <c r="V2">
        <f t="shared" si="1"/>
        <v>8</v>
      </c>
      <c r="W2">
        <f t="shared" si="1"/>
        <v>10</v>
      </c>
      <c r="X2">
        <f t="shared" si="1"/>
        <v>10</v>
      </c>
      <c r="Y2">
        <f t="shared" si="1"/>
        <v>5</v>
      </c>
      <c r="Z2">
        <f t="shared" si="1"/>
        <v>15</v>
      </c>
      <c r="AA2">
        <f t="shared" si="1"/>
        <v>10</v>
      </c>
      <c r="AB2">
        <f t="shared" si="1"/>
        <v>5</v>
      </c>
      <c r="AC2">
        <f t="shared" si="1"/>
        <v>5</v>
      </c>
      <c r="AD2">
        <f t="shared" si="1"/>
        <v>6</v>
      </c>
      <c r="AE2">
        <f t="shared" si="1"/>
        <v>9</v>
      </c>
      <c r="AF2">
        <f t="shared" si="1"/>
        <v>4</v>
      </c>
      <c r="AG2">
        <f>SUM(Q2:AF2)</f>
        <v>129</v>
      </c>
      <c r="AH2">
        <f>SUM(AH3:AH165)</f>
        <v>10</v>
      </c>
      <c r="AI2">
        <f>SUM(AI3:AI165)</f>
        <v>9</v>
      </c>
      <c r="AJ2">
        <f>SUM(AJ3:AJ165)</f>
        <v>8</v>
      </c>
    </row>
    <row r="3" spans="1:36" x14ac:dyDescent="0.3">
      <c r="A3" t="s">
        <v>10</v>
      </c>
      <c r="B3" t="s">
        <v>11</v>
      </c>
      <c r="C3">
        <v>0</v>
      </c>
      <c r="D3" t="s">
        <v>12</v>
      </c>
      <c r="E3" t="s">
        <v>169</v>
      </c>
      <c r="F3" t="s">
        <v>13</v>
      </c>
      <c r="G3" t="s">
        <v>14</v>
      </c>
      <c r="H3" t="s">
        <v>465</v>
      </c>
      <c r="P3">
        <f>SUM(Q3:AE3)</f>
        <v>0</v>
      </c>
    </row>
    <row r="4" spans="1:36" x14ac:dyDescent="0.3">
      <c r="A4" s="3" t="s">
        <v>10</v>
      </c>
      <c r="B4" t="s">
        <v>15</v>
      </c>
      <c r="C4">
        <v>0</v>
      </c>
      <c r="D4" t="s">
        <v>12</v>
      </c>
      <c r="E4" t="s">
        <v>169</v>
      </c>
      <c r="F4" t="s">
        <v>16</v>
      </c>
      <c r="G4" t="s">
        <v>17</v>
      </c>
      <c r="H4">
        <v>1</v>
      </c>
      <c r="J4">
        <v>1</v>
      </c>
      <c r="P4">
        <f>SUM(Q4:AE4)</f>
        <v>0</v>
      </c>
    </row>
    <row r="5" spans="1:36" x14ac:dyDescent="0.3">
      <c r="A5" s="3" t="s">
        <v>10</v>
      </c>
      <c r="B5" t="s">
        <v>410</v>
      </c>
      <c r="C5">
        <v>0</v>
      </c>
      <c r="D5" t="s">
        <v>406</v>
      </c>
      <c r="E5" t="s">
        <v>407</v>
      </c>
      <c r="F5" t="s">
        <v>408</v>
      </c>
      <c r="G5" t="s">
        <v>409</v>
      </c>
      <c r="H5">
        <v>1</v>
      </c>
      <c r="I5">
        <v>1</v>
      </c>
    </row>
    <row r="6" spans="1:36" x14ac:dyDescent="0.3">
      <c r="A6" s="4" t="s">
        <v>10</v>
      </c>
      <c r="B6" t="s">
        <v>18</v>
      </c>
      <c r="C6">
        <v>0</v>
      </c>
      <c r="D6" t="s">
        <v>12</v>
      </c>
      <c r="E6" t="s">
        <v>169</v>
      </c>
      <c r="F6" t="s">
        <v>63</v>
      </c>
      <c r="G6" t="s">
        <v>441</v>
      </c>
      <c r="H6">
        <v>1</v>
      </c>
      <c r="L6">
        <v>1</v>
      </c>
      <c r="P6">
        <f t="shared" ref="P6:P37" si="2">SUM(Q6:AE6)</f>
        <v>0</v>
      </c>
    </row>
    <row r="7" spans="1:36" x14ac:dyDescent="0.3">
      <c r="A7" s="4" t="s">
        <v>10</v>
      </c>
      <c r="B7" t="s">
        <v>19</v>
      </c>
      <c r="C7">
        <v>0</v>
      </c>
      <c r="D7" t="s">
        <v>12</v>
      </c>
      <c r="E7" t="s">
        <v>169</v>
      </c>
      <c r="F7" t="s">
        <v>499</v>
      </c>
      <c r="G7" t="s">
        <v>441</v>
      </c>
      <c r="H7">
        <v>1</v>
      </c>
      <c r="L7">
        <v>1</v>
      </c>
      <c r="P7">
        <f t="shared" si="2"/>
        <v>0</v>
      </c>
    </row>
    <row r="8" spans="1:36" x14ac:dyDescent="0.3">
      <c r="A8" s="4" t="s">
        <v>10</v>
      </c>
      <c r="B8" t="s">
        <v>20</v>
      </c>
      <c r="C8">
        <v>1</v>
      </c>
      <c r="D8" t="s">
        <v>12</v>
      </c>
      <c r="E8" t="s">
        <v>169</v>
      </c>
      <c r="F8" t="s">
        <v>468</v>
      </c>
      <c r="G8" t="s">
        <v>62</v>
      </c>
      <c r="H8">
        <v>0</v>
      </c>
      <c r="J8">
        <v>1</v>
      </c>
      <c r="P8">
        <f t="shared" si="2"/>
        <v>0</v>
      </c>
    </row>
    <row r="9" spans="1:36" x14ac:dyDescent="0.3">
      <c r="A9" s="4" t="s">
        <v>10</v>
      </c>
      <c r="B9" t="s">
        <v>22</v>
      </c>
      <c r="C9">
        <v>1</v>
      </c>
      <c r="D9" t="s">
        <v>12</v>
      </c>
      <c r="E9" t="s">
        <v>169</v>
      </c>
      <c r="F9" t="s">
        <v>466</v>
      </c>
      <c r="G9" t="s">
        <v>447</v>
      </c>
      <c r="H9">
        <v>0</v>
      </c>
      <c r="K9">
        <v>1</v>
      </c>
      <c r="P9">
        <f t="shared" si="2"/>
        <v>0</v>
      </c>
      <c r="AI9">
        <v>1</v>
      </c>
    </row>
    <row r="10" spans="1:36" x14ac:dyDescent="0.3">
      <c r="A10" s="4" t="s">
        <v>10</v>
      </c>
      <c r="B10" t="s">
        <v>405</v>
      </c>
      <c r="C10">
        <v>2</v>
      </c>
      <c r="D10" t="s">
        <v>12</v>
      </c>
      <c r="E10" t="s">
        <v>169</v>
      </c>
      <c r="F10" t="s">
        <v>421</v>
      </c>
      <c r="G10" t="s">
        <v>415</v>
      </c>
      <c r="H10">
        <v>-9</v>
      </c>
      <c r="J10">
        <v>1</v>
      </c>
      <c r="P10">
        <f t="shared" si="2"/>
        <v>0</v>
      </c>
    </row>
    <row r="11" spans="1:36" x14ac:dyDescent="0.3">
      <c r="A11" t="s">
        <v>23</v>
      </c>
      <c r="B11" t="s">
        <v>23</v>
      </c>
      <c r="C11" t="s">
        <v>14</v>
      </c>
      <c r="D11" t="s">
        <v>24</v>
      </c>
      <c r="E11" t="s">
        <v>170</v>
      </c>
      <c r="F11" t="s">
        <v>423</v>
      </c>
      <c r="L11">
        <v>1</v>
      </c>
      <c r="P11">
        <f t="shared" si="2"/>
        <v>0</v>
      </c>
    </row>
    <row r="12" spans="1:36" x14ac:dyDescent="0.3">
      <c r="A12" s="3" t="s">
        <v>23</v>
      </c>
      <c r="B12" t="s">
        <v>25</v>
      </c>
      <c r="C12">
        <v>3</v>
      </c>
      <c r="D12" t="s">
        <v>26</v>
      </c>
      <c r="E12" t="s">
        <v>138</v>
      </c>
      <c r="F12" t="s">
        <v>448</v>
      </c>
      <c r="H12">
        <v>7</v>
      </c>
      <c r="J12">
        <v>1</v>
      </c>
      <c r="P12">
        <f t="shared" si="2"/>
        <v>1</v>
      </c>
      <c r="Q12">
        <v>1</v>
      </c>
    </row>
    <row r="13" spans="1:36" x14ac:dyDescent="0.3">
      <c r="A13" s="4" t="s">
        <v>23</v>
      </c>
      <c r="B13" t="s">
        <v>36</v>
      </c>
      <c r="C13">
        <v>2</v>
      </c>
      <c r="D13" t="s">
        <v>26</v>
      </c>
      <c r="E13" t="s">
        <v>140</v>
      </c>
      <c r="F13" t="s">
        <v>324</v>
      </c>
      <c r="H13">
        <v>5</v>
      </c>
      <c r="L13">
        <v>1</v>
      </c>
      <c r="P13">
        <f t="shared" si="2"/>
        <v>1</v>
      </c>
      <c r="S13">
        <v>1</v>
      </c>
    </row>
    <row r="14" spans="1:36" x14ac:dyDescent="0.3">
      <c r="A14" s="4" t="s">
        <v>23</v>
      </c>
      <c r="B14" t="s">
        <v>88</v>
      </c>
      <c r="C14">
        <v>1</v>
      </c>
      <c r="D14" t="s">
        <v>82</v>
      </c>
      <c r="E14" t="s">
        <v>143</v>
      </c>
      <c r="F14" t="s">
        <v>476</v>
      </c>
      <c r="G14" t="s">
        <v>447</v>
      </c>
      <c r="H14">
        <v>-6</v>
      </c>
      <c r="L14">
        <v>1</v>
      </c>
      <c r="P14">
        <f t="shared" si="2"/>
        <v>1</v>
      </c>
      <c r="W14">
        <v>1</v>
      </c>
    </row>
    <row r="15" spans="1:36" x14ac:dyDescent="0.3">
      <c r="A15" t="s">
        <v>27</v>
      </c>
      <c r="B15" t="s">
        <v>28</v>
      </c>
      <c r="C15" t="s">
        <v>14</v>
      </c>
      <c r="D15" t="s">
        <v>24</v>
      </c>
      <c r="E15" t="s">
        <v>170</v>
      </c>
      <c r="F15" t="s">
        <v>424</v>
      </c>
      <c r="J15">
        <v>1</v>
      </c>
      <c r="P15">
        <f t="shared" si="2"/>
        <v>0</v>
      </c>
    </row>
    <row r="16" spans="1:36" x14ac:dyDescent="0.3">
      <c r="A16" s="3" t="s">
        <v>27</v>
      </c>
      <c r="B16" t="s">
        <v>29</v>
      </c>
      <c r="C16">
        <v>1</v>
      </c>
      <c r="D16" t="s">
        <v>12</v>
      </c>
      <c r="E16" t="s">
        <v>143</v>
      </c>
      <c r="F16" t="s">
        <v>505</v>
      </c>
      <c r="G16" t="s">
        <v>447</v>
      </c>
      <c r="H16">
        <v>2</v>
      </c>
      <c r="K16">
        <v>1</v>
      </c>
      <c r="N16">
        <v>1</v>
      </c>
      <c r="P16">
        <f t="shared" si="2"/>
        <v>1</v>
      </c>
      <c r="W16">
        <v>1</v>
      </c>
    </row>
    <row r="17" spans="1:27" x14ac:dyDescent="0.3">
      <c r="A17" s="4" t="s">
        <v>27</v>
      </c>
      <c r="B17" t="s">
        <v>30</v>
      </c>
      <c r="C17">
        <v>3</v>
      </c>
      <c r="D17" t="s">
        <v>12</v>
      </c>
      <c r="E17" t="s">
        <v>141</v>
      </c>
      <c r="F17" t="s">
        <v>469</v>
      </c>
      <c r="G17" t="s">
        <v>411</v>
      </c>
      <c r="H17">
        <v>-12</v>
      </c>
      <c r="J17">
        <v>1</v>
      </c>
      <c r="P17">
        <f t="shared" si="2"/>
        <v>1</v>
      </c>
      <c r="U17">
        <v>1</v>
      </c>
    </row>
    <row r="18" spans="1:27" x14ac:dyDescent="0.3">
      <c r="A18" s="4" t="s">
        <v>27</v>
      </c>
      <c r="B18" t="s">
        <v>69</v>
      </c>
      <c r="C18">
        <v>3</v>
      </c>
      <c r="D18" t="s">
        <v>70</v>
      </c>
      <c r="E18" t="s">
        <v>138</v>
      </c>
      <c r="F18" t="s">
        <v>473</v>
      </c>
      <c r="H18">
        <v>7</v>
      </c>
      <c r="L18">
        <v>1</v>
      </c>
      <c r="P18">
        <f t="shared" si="2"/>
        <v>1</v>
      </c>
      <c r="Q18">
        <v>1</v>
      </c>
    </row>
    <row r="19" spans="1:27" x14ac:dyDescent="0.3">
      <c r="A19" t="s">
        <v>31</v>
      </c>
      <c r="B19" t="s">
        <v>32</v>
      </c>
      <c r="C19" t="s">
        <v>14</v>
      </c>
      <c r="D19" t="s">
        <v>24</v>
      </c>
      <c r="E19" t="s">
        <v>170</v>
      </c>
      <c r="F19" t="s">
        <v>449</v>
      </c>
      <c r="J19">
        <v>1</v>
      </c>
      <c r="P19">
        <f t="shared" si="2"/>
        <v>0</v>
      </c>
    </row>
    <row r="20" spans="1:27" x14ac:dyDescent="0.3">
      <c r="A20" s="3" t="s">
        <v>31</v>
      </c>
      <c r="B20" t="s">
        <v>33</v>
      </c>
      <c r="C20">
        <v>1</v>
      </c>
      <c r="D20" t="s">
        <v>12</v>
      </c>
      <c r="E20" t="s">
        <v>143</v>
      </c>
      <c r="F20" t="s">
        <v>504</v>
      </c>
      <c r="G20" t="s">
        <v>62</v>
      </c>
      <c r="H20">
        <v>4</v>
      </c>
      <c r="J20">
        <v>1</v>
      </c>
      <c r="N20">
        <v>1</v>
      </c>
      <c r="P20">
        <f t="shared" si="2"/>
        <v>1</v>
      </c>
      <c r="W20">
        <v>1</v>
      </c>
    </row>
    <row r="21" spans="1:27" x14ac:dyDescent="0.3">
      <c r="A21" s="4" t="s">
        <v>31</v>
      </c>
      <c r="B21" t="s">
        <v>76</v>
      </c>
      <c r="C21">
        <v>2</v>
      </c>
      <c r="D21" t="s">
        <v>70</v>
      </c>
      <c r="E21" t="s">
        <v>139</v>
      </c>
      <c r="F21" t="s">
        <v>474</v>
      </c>
      <c r="H21">
        <v>5</v>
      </c>
      <c r="L21">
        <v>1</v>
      </c>
      <c r="P21">
        <f t="shared" si="2"/>
        <v>1</v>
      </c>
      <c r="R21">
        <v>1</v>
      </c>
    </row>
    <row r="22" spans="1:27" x14ac:dyDescent="0.3">
      <c r="A22" s="4" t="s">
        <v>31</v>
      </c>
      <c r="B22" t="s">
        <v>218</v>
      </c>
      <c r="C22">
        <v>1</v>
      </c>
      <c r="D22" t="s">
        <v>67</v>
      </c>
      <c r="E22" t="s">
        <v>147</v>
      </c>
      <c r="F22" t="s">
        <v>294</v>
      </c>
      <c r="H22">
        <v>4</v>
      </c>
      <c r="J22">
        <v>1</v>
      </c>
      <c r="P22">
        <f t="shared" si="2"/>
        <v>1</v>
      </c>
      <c r="AA22">
        <v>1</v>
      </c>
    </row>
    <row r="23" spans="1:27" x14ac:dyDescent="0.3">
      <c r="A23" t="s">
        <v>34</v>
      </c>
      <c r="B23" t="s">
        <v>35</v>
      </c>
      <c r="C23">
        <v>2</v>
      </c>
      <c r="D23" t="s">
        <v>26</v>
      </c>
      <c r="E23" t="s">
        <v>140</v>
      </c>
      <c r="F23" t="s">
        <v>412</v>
      </c>
      <c r="H23">
        <v>5</v>
      </c>
      <c r="J23">
        <v>1</v>
      </c>
      <c r="P23">
        <f t="shared" si="2"/>
        <v>1</v>
      </c>
      <c r="S23">
        <v>1</v>
      </c>
    </row>
    <row r="24" spans="1:27" x14ac:dyDescent="0.3">
      <c r="A24" s="3" t="s">
        <v>34</v>
      </c>
      <c r="B24" t="s">
        <v>84</v>
      </c>
      <c r="C24">
        <v>2</v>
      </c>
      <c r="D24" t="s">
        <v>70</v>
      </c>
      <c r="E24" t="s">
        <v>172</v>
      </c>
      <c r="F24" t="s">
        <v>452</v>
      </c>
      <c r="H24">
        <v>5</v>
      </c>
      <c r="I24">
        <v>1</v>
      </c>
      <c r="P24">
        <f t="shared" si="2"/>
        <v>1</v>
      </c>
      <c r="T24">
        <v>1</v>
      </c>
    </row>
    <row r="25" spans="1:27" x14ac:dyDescent="0.3">
      <c r="A25" s="4" t="s">
        <v>34</v>
      </c>
      <c r="B25" t="s">
        <v>207</v>
      </c>
      <c r="C25">
        <v>1</v>
      </c>
      <c r="D25" t="s">
        <v>204</v>
      </c>
      <c r="E25" t="s">
        <v>205</v>
      </c>
      <c r="F25" t="s">
        <v>413</v>
      </c>
      <c r="H25">
        <v>3</v>
      </c>
      <c r="K25">
        <v>1</v>
      </c>
      <c r="P25">
        <f t="shared" si="2"/>
        <v>1</v>
      </c>
      <c r="S25">
        <v>1</v>
      </c>
    </row>
    <row r="26" spans="1:27" x14ac:dyDescent="0.3">
      <c r="A26" s="4" t="s">
        <v>34</v>
      </c>
      <c r="B26" t="s">
        <v>65</v>
      </c>
      <c r="C26">
        <v>1</v>
      </c>
      <c r="D26" t="s">
        <v>176</v>
      </c>
      <c r="E26" t="s">
        <v>140</v>
      </c>
      <c r="F26" t="s">
        <v>414</v>
      </c>
      <c r="H26">
        <v>3</v>
      </c>
      <c r="K26">
        <v>1</v>
      </c>
      <c r="P26">
        <f t="shared" si="2"/>
        <v>1</v>
      </c>
      <c r="S26">
        <v>1</v>
      </c>
    </row>
    <row r="27" spans="1:27" x14ac:dyDescent="0.3">
      <c r="A27" s="4" t="s">
        <v>34</v>
      </c>
      <c r="B27" t="s">
        <v>71</v>
      </c>
      <c r="C27">
        <v>3</v>
      </c>
      <c r="D27" t="s">
        <v>67</v>
      </c>
      <c r="E27" t="s">
        <v>146</v>
      </c>
      <c r="F27" t="s">
        <v>453</v>
      </c>
      <c r="H27">
        <v>0</v>
      </c>
      <c r="J27">
        <v>1</v>
      </c>
      <c r="P27">
        <f t="shared" si="2"/>
        <v>1</v>
      </c>
      <c r="Z27">
        <v>1</v>
      </c>
    </row>
    <row r="28" spans="1:27" x14ac:dyDescent="0.3">
      <c r="A28" t="s">
        <v>37</v>
      </c>
      <c r="B28" t="s">
        <v>37</v>
      </c>
      <c r="C28" t="s">
        <v>14</v>
      </c>
      <c r="D28" t="s">
        <v>24</v>
      </c>
      <c r="E28" t="s">
        <v>171</v>
      </c>
      <c r="F28" t="s">
        <v>295</v>
      </c>
      <c r="K28">
        <v>1</v>
      </c>
      <c r="P28">
        <f t="shared" si="2"/>
        <v>0</v>
      </c>
    </row>
    <row r="29" spans="1:27" x14ac:dyDescent="0.3">
      <c r="A29" s="3" t="s">
        <v>37</v>
      </c>
      <c r="B29" t="s">
        <v>38</v>
      </c>
      <c r="C29">
        <v>3</v>
      </c>
      <c r="D29" t="s">
        <v>26</v>
      </c>
      <c r="E29" t="s">
        <v>172</v>
      </c>
      <c r="F29" t="s">
        <v>454</v>
      </c>
      <c r="G29" t="s">
        <v>14</v>
      </c>
      <c r="H29">
        <v>7</v>
      </c>
      <c r="I29">
        <v>1</v>
      </c>
      <c r="P29">
        <f t="shared" si="2"/>
        <v>1</v>
      </c>
      <c r="T29">
        <v>1</v>
      </c>
    </row>
    <row r="30" spans="1:27" ht="13.5" customHeight="1" x14ac:dyDescent="0.3">
      <c r="A30" s="4" t="s">
        <v>37</v>
      </c>
      <c r="B30" t="s">
        <v>39</v>
      </c>
      <c r="C30">
        <v>3</v>
      </c>
      <c r="D30" t="s">
        <v>26</v>
      </c>
      <c r="E30" t="s">
        <v>140</v>
      </c>
      <c r="F30" t="s">
        <v>349</v>
      </c>
      <c r="G30" t="s">
        <v>14</v>
      </c>
      <c r="H30">
        <v>7</v>
      </c>
      <c r="K30">
        <v>1</v>
      </c>
      <c r="P30">
        <f t="shared" si="2"/>
        <v>1</v>
      </c>
      <c r="S30">
        <v>1</v>
      </c>
    </row>
    <row r="31" spans="1:27" x14ac:dyDescent="0.3">
      <c r="A31" s="4" t="s">
        <v>37</v>
      </c>
      <c r="B31" t="s">
        <v>222</v>
      </c>
      <c r="C31">
        <v>2</v>
      </c>
      <c r="D31" t="s">
        <v>223</v>
      </c>
      <c r="E31" t="s">
        <v>224</v>
      </c>
      <c r="F31" t="s">
        <v>475</v>
      </c>
      <c r="G31" t="s">
        <v>213</v>
      </c>
      <c r="H31">
        <v>-6</v>
      </c>
      <c r="L31">
        <v>1</v>
      </c>
      <c r="M31">
        <v>1</v>
      </c>
      <c r="P31">
        <f t="shared" si="2"/>
        <v>1</v>
      </c>
      <c r="W31">
        <v>1</v>
      </c>
    </row>
    <row r="32" spans="1:27" x14ac:dyDescent="0.3">
      <c r="A32" t="s">
        <v>40</v>
      </c>
      <c r="B32" t="s">
        <v>166</v>
      </c>
      <c r="C32" t="s">
        <v>14</v>
      </c>
      <c r="D32" t="s">
        <v>24</v>
      </c>
      <c r="E32" t="s">
        <v>171</v>
      </c>
      <c r="F32" t="s">
        <v>346</v>
      </c>
      <c r="I32">
        <v>1</v>
      </c>
      <c r="P32">
        <f t="shared" si="2"/>
        <v>0</v>
      </c>
    </row>
    <row r="33" spans="1:31" x14ac:dyDescent="0.3">
      <c r="A33" s="3" t="s">
        <v>40</v>
      </c>
      <c r="B33" t="s">
        <v>41</v>
      </c>
      <c r="C33">
        <v>3</v>
      </c>
      <c r="D33" t="s">
        <v>26</v>
      </c>
      <c r="E33" t="s">
        <v>138</v>
      </c>
      <c r="F33" t="s">
        <v>467</v>
      </c>
      <c r="H33">
        <v>7</v>
      </c>
      <c r="J33">
        <v>1</v>
      </c>
      <c r="P33">
        <f t="shared" si="2"/>
        <v>1</v>
      </c>
      <c r="Q33">
        <v>1</v>
      </c>
    </row>
    <row r="34" spans="1:31" x14ac:dyDescent="0.3">
      <c r="A34" s="4" t="s">
        <v>40</v>
      </c>
      <c r="B34" t="s">
        <v>42</v>
      </c>
      <c r="C34">
        <v>2</v>
      </c>
      <c r="D34" t="s">
        <v>26</v>
      </c>
      <c r="E34" t="s">
        <v>172</v>
      </c>
      <c r="F34" t="s">
        <v>478</v>
      </c>
      <c r="G34" t="s">
        <v>14</v>
      </c>
      <c r="H34">
        <v>5</v>
      </c>
      <c r="I34">
        <v>1</v>
      </c>
      <c r="P34">
        <f t="shared" si="2"/>
        <v>1</v>
      </c>
      <c r="T34">
        <v>1</v>
      </c>
    </row>
    <row r="35" spans="1:31" x14ac:dyDescent="0.3">
      <c r="A35" s="4" t="s">
        <v>40</v>
      </c>
      <c r="B35" t="s">
        <v>43</v>
      </c>
      <c r="C35">
        <v>0</v>
      </c>
      <c r="D35" t="s">
        <v>44</v>
      </c>
      <c r="E35" t="s">
        <v>148</v>
      </c>
      <c r="F35" t="s">
        <v>347</v>
      </c>
      <c r="G35" t="s">
        <v>14</v>
      </c>
      <c r="H35">
        <v>0</v>
      </c>
      <c r="L35">
        <v>1</v>
      </c>
      <c r="P35">
        <f t="shared" si="2"/>
        <v>1</v>
      </c>
      <c r="AB35">
        <v>1</v>
      </c>
    </row>
    <row r="36" spans="1:31" x14ac:dyDescent="0.3">
      <c r="A36" t="s">
        <v>45</v>
      </c>
      <c r="B36" t="s">
        <v>77</v>
      </c>
      <c r="C36" t="s">
        <v>14</v>
      </c>
      <c r="D36" t="s">
        <v>24</v>
      </c>
      <c r="E36" t="s">
        <v>171</v>
      </c>
      <c r="F36" t="s">
        <v>477</v>
      </c>
      <c r="L36">
        <v>1</v>
      </c>
      <c r="P36">
        <f t="shared" si="2"/>
        <v>0</v>
      </c>
    </row>
    <row r="37" spans="1:31" x14ac:dyDescent="0.3">
      <c r="A37" s="3" t="s">
        <v>45</v>
      </c>
      <c r="B37" t="s">
        <v>78</v>
      </c>
      <c r="C37">
        <v>1</v>
      </c>
      <c r="D37" t="s">
        <v>70</v>
      </c>
      <c r="E37" t="s">
        <v>139</v>
      </c>
      <c r="F37" t="s">
        <v>479</v>
      </c>
      <c r="H37">
        <v>3</v>
      </c>
      <c r="L37">
        <v>1</v>
      </c>
      <c r="P37">
        <f t="shared" si="2"/>
        <v>1</v>
      </c>
      <c r="R37">
        <v>1</v>
      </c>
    </row>
    <row r="38" spans="1:31" x14ac:dyDescent="0.3">
      <c r="A38" s="4" t="s">
        <v>45</v>
      </c>
      <c r="B38" t="s">
        <v>157</v>
      </c>
      <c r="C38">
        <v>2</v>
      </c>
      <c r="D38" t="s">
        <v>12</v>
      </c>
      <c r="E38" t="s">
        <v>141</v>
      </c>
      <c r="F38" t="s">
        <v>416</v>
      </c>
      <c r="G38" t="s">
        <v>415</v>
      </c>
      <c r="H38">
        <v>-9</v>
      </c>
      <c r="J38">
        <v>1</v>
      </c>
      <c r="P38">
        <f t="shared" ref="P38:P69" si="3">SUM(Q38:AE38)</f>
        <v>1</v>
      </c>
      <c r="U38">
        <v>1</v>
      </c>
    </row>
    <row r="39" spans="1:31" x14ac:dyDescent="0.3">
      <c r="A39" s="4" t="s">
        <v>45</v>
      </c>
      <c r="B39" t="s">
        <v>215</v>
      </c>
      <c r="C39">
        <v>0</v>
      </c>
      <c r="D39" t="s">
        <v>216</v>
      </c>
      <c r="E39" t="s">
        <v>217</v>
      </c>
      <c r="F39" t="s">
        <v>325</v>
      </c>
      <c r="H39">
        <v>0</v>
      </c>
      <c r="K39">
        <v>1</v>
      </c>
      <c r="P39">
        <f t="shared" si="3"/>
        <v>1</v>
      </c>
      <c r="Z39">
        <v>1</v>
      </c>
    </row>
    <row r="40" spans="1:31" x14ac:dyDescent="0.3">
      <c r="A40" t="s">
        <v>46</v>
      </c>
      <c r="B40" t="s">
        <v>46</v>
      </c>
      <c r="C40" t="s">
        <v>14</v>
      </c>
      <c r="D40" t="s">
        <v>24</v>
      </c>
      <c r="E40" t="s">
        <v>171</v>
      </c>
      <c r="F40" t="s">
        <v>297</v>
      </c>
      <c r="I40">
        <v>1</v>
      </c>
      <c r="P40">
        <f t="shared" si="3"/>
        <v>0</v>
      </c>
    </row>
    <row r="41" spans="1:31" x14ac:dyDescent="0.3">
      <c r="A41" s="3" t="s">
        <v>46</v>
      </c>
      <c r="B41" t="s">
        <v>47</v>
      </c>
      <c r="C41">
        <v>1</v>
      </c>
      <c r="D41" t="s">
        <v>44</v>
      </c>
      <c r="E41" t="s">
        <v>147</v>
      </c>
      <c r="F41" t="s">
        <v>298</v>
      </c>
      <c r="G41" t="s">
        <v>14</v>
      </c>
      <c r="H41">
        <v>10</v>
      </c>
      <c r="K41">
        <v>1</v>
      </c>
      <c r="M41">
        <v>1</v>
      </c>
      <c r="P41">
        <f t="shared" si="3"/>
        <v>1</v>
      </c>
      <c r="AA41">
        <v>1</v>
      </c>
    </row>
    <row r="42" spans="1:31" x14ac:dyDescent="0.3">
      <c r="A42" s="4" t="s">
        <v>46</v>
      </c>
      <c r="B42" t="s">
        <v>48</v>
      </c>
      <c r="C42">
        <v>3</v>
      </c>
      <c r="D42" t="s">
        <v>12</v>
      </c>
      <c r="E42" t="s">
        <v>141</v>
      </c>
      <c r="F42" t="s">
        <v>470</v>
      </c>
      <c r="G42" t="s">
        <v>411</v>
      </c>
      <c r="H42">
        <v>-12</v>
      </c>
      <c r="J42">
        <v>1</v>
      </c>
      <c r="P42">
        <f t="shared" si="3"/>
        <v>1</v>
      </c>
      <c r="U42">
        <v>1</v>
      </c>
    </row>
    <row r="43" spans="1:31" x14ac:dyDescent="0.3">
      <c r="A43" s="4" t="s">
        <v>46</v>
      </c>
      <c r="B43" t="s">
        <v>153</v>
      </c>
      <c r="C43">
        <v>2</v>
      </c>
      <c r="D43" t="s">
        <v>70</v>
      </c>
      <c r="E43" t="s">
        <v>138</v>
      </c>
      <c r="F43" t="s">
        <v>299</v>
      </c>
      <c r="H43">
        <v>5</v>
      </c>
      <c r="J43">
        <v>1</v>
      </c>
      <c r="P43">
        <f t="shared" si="3"/>
        <v>1</v>
      </c>
      <c r="Q43">
        <v>1</v>
      </c>
    </row>
    <row r="44" spans="1:31" x14ac:dyDescent="0.3">
      <c r="A44" t="s">
        <v>49</v>
      </c>
      <c r="B44" t="s">
        <v>167</v>
      </c>
      <c r="C44" t="s">
        <v>14</v>
      </c>
      <c r="D44" t="s">
        <v>24</v>
      </c>
      <c r="E44" t="s">
        <v>171</v>
      </c>
      <c r="F44" t="s">
        <v>417</v>
      </c>
      <c r="K44">
        <v>1</v>
      </c>
      <c r="P44">
        <f t="shared" si="3"/>
        <v>0</v>
      </c>
    </row>
    <row r="45" spans="1:31" x14ac:dyDescent="0.3">
      <c r="A45" s="3" t="s">
        <v>49</v>
      </c>
      <c r="B45" t="s">
        <v>50</v>
      </c>
      <c r="C45">
        <v>0</v>
      </c>
      <c r="D45" t="s">
        <v>44</v>
      </c>
      <c r="E45" t="s">
        <v>148</v>
      </c>
      <c r="F45" t="s">
        <v>348</v>
      </c>
      <c r="H45">
        <v>0</v>
      </c>
      <c r="L45">
        <v>1</v>
      </c>
      <c r="P45">
        <f t="shared" si="3"/>
        <v>1</v>
      </c>
      <c r="AB45">
        <v>1</v>
      </c>
    </row>
    <row r="46" spans="1:31" x14ac:dyDescent="0.3">
      <c r="A46" s="4" t="s">
        <v>49</v>
      </c>
      <c r="B46" t="s">
        <v>51</v>
      </c>
      <c r="C46">
        <v>2</v>
      </c>
      <c r="D46" t="s">
        <v>26</v>
      </c>
      <c r="E46" t="s">
        <v>138</v>
      </c>
      <c r="F46" t="s">
        <v>480</v>
      </c>
      <c r="H46">
        <v>5</v>
      </c>
      <c r="J46">
        <v>1</v>
      </c>
      <c r="P46">
        <f t="shared" si="3"/>
        <v>1</v>
      </c>
      <c r="Q46">
        <v>1</v>
      </c>
    </row>
    <row r="47" spans="1:31" x14ac:dyDescent="0.3">
      <c r="A47" s="4" t="s">
        <v>49</v>
      </c>
      <c r="B47" t="s">
        <v>137</v>
      </c>
      <c r="C47">
        <v>1</v>
      </c>
      <c r="D47" t="s">
        <v>67</v>
      </c>
      <c r="E47" t="s">
        <v>173</v>
      </c>
      <c r="F47" t="s">
        <v>481</v>
      </c>
      <c r="H47">
        <v>4</v>
      </c>
      <c r="K47">
        <v>1</v>
      </c>
      <c r="M47">
        <v>1</v>
      </c>
      <c r="O47">
        <v>1</v>
      </c>
      <c r="P47">
        <f t="shared" si="3"/>
        <v>1</v>
      </c>
      <c r="AE47">
        <v>1</v>
      </c>
    </row>
    <row r="48" spans="1:31" x14ac:dyDescent="0.3">
      <c r="A48" t="s">
        <v>52</v>
      </c>
      <c r="B48" t="s">
        <v>52</v>
      </c>
      <c r="C48" t="s">
        <v>14</v>
      </c>
      <c r="D48" t="s">
        <v>24</v>
      </c>
      <c r="E48" t="s">
        <v>171</v>
      </c>
      <c r="F48" t="s">
        <v>459</v>
      </c>
      <c r="J48">
        <v>1</v>
      </c>
      <c r="P48">
        <f t="shared" si="3"/>
        <v>0</v>
      </c>
    </row>
    <row r="49" spans="1:35" x14ac:dyDescent="0.3">
      <c r="A49" s="3" t="s">
        <v>52</v>
      </c>
      <c r="B49" t="s">
        <v>53</v>
      </c>
      <c r="C49">
        <v>3</v>
      </c>
      <c r="D49" t="s">
        <v>26</v>
      </c>
      <c r="E49" t="s">
        <v>138</v>
      </c>
      <c r="F49" t="s">
        <v>418</v>
      </c>
      <c r="H49">
        <v>7</v>
      </c>
      <c r="J49">
        <v>1</v>
      </c>
      <c r="P49">
        <f t="shared" si="3"/>
        <v>1</v>
      </c>
      <c r="Q49">
        <v>1</v>
      </c>
    </row>
    <row r="50" spans="1:35" x14ac:dyDescent="0.3">
      <c r="A50" s="4" t="s">
        <v>52</v>
      </c>
      <c r="B50" t="s">
        <v>54</v>
      </c>
      <c r="C50">
        <v>2</v>
      </c>
      <c r="D50" t="s">
        <v>26</v>
      </c>
      <c r="E50" t="s">
        <v>139</v>
      </c>
      <c r="F50" t="s">
        <v>332</v>
      </c>
      <c r="G50" t="s">
        <v>14</v>
      </c>
      <c r="H50">
        <v>5</v>
      </c>
      <c r="L50">
        <v>1</v>
      </c>
      <c r="P50">
        <f t="shared" si="3"/>
        <v>1</v>
      </c>
      <c r="R50">
        <v>1</v>
      </c>
    </row>
    <row r="51" spans="1:35" x14ac:dyDescent="0.3">
      <c r="A51" s="4" t="s">
        <v>52</v>
      </c>
      <c r="B51" t="s">
        <v>55</v>
      </c>
      <c r="C51">
        <v>2</v>
      </c>
      <c r="D51" t="s">
        <v>12</v>
      </c>
      <c r="E51" t="s">
        <v>141</v>
      </c>
      <c r="F51" t="s">
        <v>484</v>
      </c>
      <c r="G51" t="s">
        <v>404</v>
      </c>
      <c r="H51">
        <v>-9</v>
      </c>
      <c r="K51">
        <v>1</v>
      </c>
      <c r="M51">
        <v>1</v>
      </c>
      <c r="O51">
        <v>1</v>
      </c>
      <c r="P51">
        <f t="shared" si="3"/>
        <v>1</v>
      </c>
      <c r="U51">
        <v>1</v>
      </c>
    </row>
    <row r="52" spans="1:35" x14ac:dyDescent="0.3">
      <c r="A52" t="s">
        <v>56</v>
      </c>
      <c r="B52" t="s">
        <v>56</v>
      </c>
      <c r="C52" t="s">
        <v>14</v>
      </c>
      <c r="D52" t="s">
        <v>24</v>
      </c>
      <c r="E52" t="s">
        <v>171</v>
      </c>
      <c r="F52" t="s">
        <v>419</v>
      </c>
      <c r="J52">
        <v>1</v>
      </c>
      <c r="P52">
        <f t="shared" si="3"/>
        <v>0</v>
      </c>
    </row>
    <row r="53" spans="1:35" x14ac:dyDescent="0.3">
      <c r="A53" s="3" t="s">
        <v>56</v>
      </c>
      <c r="B53" t="s">
        <v>57</v>
      </c>
      <c r="C53">
        <v>2</v>
      </c>
      <c r="D53" t="s">
        <v>184</v>
      </c>
      <c r="E53" t="s">
        <v>146</v>
      </c>
      <c r="F53" t="s">
        <v>483</v>
      </c>
      <c r="H53">
        <v>1</v>
      </c>
      <c r="J53">
        <v>1</v>
      </c>
      <c r="M53">
        <v>1</v>
      </c>
      <c r="P53">
        <f t="shared" si="3"/>
        <v>1</v>
      </c>
      <c r="Z53">
        <v>1</v>
      </c>
    </row>
    <row r="54" spans="1:35" x14ac:dyDescent="0.3">
      <c r="A54" s="4" t="s">
        <v>56</v>
      </c>
      <c r="B54" t="s">
        <v>58</v>
      </c>
      <c r="C54">
        <v>1</v>
      </c>
      <c r="D54" t="s">
        <v>26</v>
      </c>
      <c r="E54" t="s">
        <v>140</v>
      </c>
      <c r="F54" t="s">
        <v>301</v>
      </c>
      <c r="H54">
        <v>3</v>
      </c>
      <c r="K54">
        <v>1</v>
      </c>
      <c r="P54">
        <f t="shared" si="3"/>
        <v>1</v>
      </c>
      <c r="S54">
        <v>1</v>
      </c>
    </row>
    <row r="55" spans="1:35" x14ac:dyDescent="0.3">
      <c r="A55" s="4" t="s">
        <v>56</v>
      </c>
      <c r="B55" t="s">
        <v>66</v>
      </c>
      <c r="C55">
        <v>3</v>
      </c>
      <c r="D55" t="s">
        <v>67</v>
      </c>
      <c r="E55" t="s">
        <v>146</v>
      </c>
      <c r="F55" t="s">
        <v>68</v>
      </c>
      <c r="H55">
        <v>1</v>
      </c>
      <c r="J55">
        <v>1</v>
      </c>
      <c r="P55">
        <f t="shared" si="3"/>
        <v>1</v>
      </c>
      <c r="Z55">
        <v>1</v>
      </c>
    </row>
    <row r="56" spans="1:35" x14ac:dyDescent="0.3">
      <c r="A56" t="s">
        <v>344</v>
      </c>
      <c r="B56" t="s">
        <v>344</v>
      </c>
      <c r="C56" t="s">
        <v>14</v>
      </c>
      <c r="D56" t="s">
        <v>24</v>
      </c>
      <c r="E56" t="s">
        <v>171</v>
      </c>
      <c r="F56" t="s">
        <v>302</v>
      </c>
      <c r="L56">
        <v>1</v>
      </c>
      <c r="P56">
        <f t="shared" si="3"/>
        <v>0</v>
      </c>
    </row>
    <row r="57" spans="1:35" x14ac:dyDescent="0.3">
      <c r="A57" s="3" t="s">
        <v>344</v>
      </c>
      <c r="B57" t="s">
        <v>97</v>
      </c>
      <c r="C57">
        <v>1</v>
      </c>
      <c r="D57" t="s">
        <v>67</v>
      </c>
      <c r="E57" t="s">
        <v>151</v>
      </c>
      <c r="F57" t="s">
        <v>98</v>
      </c>
      <c r="H57">
        <v>0</v>
      </c>
      <c r="L57">
        <v>1</v>
      </c>
      <c r="P57">
        <f t="shared" si="3"/>
        <v>1</v>
      </c>
      <c r="AC57">
        <v>1</v>
      </c>
    </row>
    <row r="58" spans="1:35" x14ac:dyDescent="0.3">
      <c r="A58" s="4" t="s">
        <v>344</v>
      </c>
      <c r="B58" t="s">
        <v>101</v>
      </c>
      <c r="C58">
        <v>2</v>
      </c>
      <c r="D58" t="s">
        <v>82</v>
      </c>
      <c r="E58" t="s">
        <v>141</v>
      </c>
      <c r="F58" t="s">
        <v>326</v>
      </c>
      <c r="G58" t="s">
        <v>370</v>
      </c>
      <c r="H58">
        <v>-9</v>
      </c>
      <c r="L58">
        <v>1</v>
      </c>
      <c r="P58">
        <f t="shared" si="3"/>
        <v>1</v>
      </c>
      <c r="U58">
        <v>1</v>
      </c>
    </row>
    <row r="59" spans="1:35" x14ac:dyDescent="0.3">
      <c r="A59" s="4" t="s">
        <v>344</v>
      </c>
      <c r="B59" t="s">
        <v>99</v>
      </c>
      <c r="C59">
        <v>1</v>
      </c>
      <c r="D59" t="s">
        <v>70</v>
      </c>
      <c r="E59" t="s">
        <v>138</v>
      </c>
      <c r="F59" t="s">
        <v>420</v>
      </c>
      <c r="H59">
        <v>3</v>
      </c>
      <c r="J59">
        <v>1</v>
      </c>
      <c r="P59">
        <f t="shared" si="3"/>
        <v>1</v>
      </c>
      <c r="Q59">
        <v>1</v>
      </c>
    </row>
    <row r="60" spans="1:35" x14ac:dyDescent="0.3">
      <c r="A60" t="s">
        <v>342</v>
      </c>
      <c r="B60" t="s">
        <v>339</v>
      </c>
      <c r="C60">
        <v>0</v>
      </c>
      <c r="D60" t="s">
        <v>44</v>
      </c>
      <c r="E60" t="s">
        <v>149</v>
      </c>
      <c r="F60" t="s">
        <v>460</v>
      </c>
      <c r="H60">
        <v>0</v>
      </c>
      <c r="P60">
        <f t="shared" si="3"/>
        <v>1</v>
      </c>
      <c r="AD60">
        <v>1</v>
      </c>
    </row>
    <row r="61" spans="1:35" x14ac:dyDescent="0.3">
      <c r="A61" s="3" t="s">
        <v>342</v>
      </c>
      <c r="B61" t="s">
        <v>59</v>
      </c>
      <c r="C61">
        <v>0</v>
      </c>
      <c r="D61" t="s">
        <v>44</v>
      </c>
      <c r="E61" t="s">
        <v>149</v>
      </c>
      <c r="F61" t="s">
        <v>345</v>
      </c>
      <c r="H61">
        <v>0</v>
      </c>
      <c r="P61">
        <f t="shared" si="3"/>
        <v>1</v>
      </c>
      <c r="AD61">
        <v>1</v>
      </c>
    </row>
    <row r="62" spans="1:35" x14ac:dyDescent="0.3">
      <c r="A62" s="3" t="s">
        <v>342</v>
      </c>
      <c r="B62" t="s">
        <v>60</v>
      </c>
      <c r="C62">
        <v>0</v>
      </c>
      <c r="D62" t="s">
        <v>44</v>
      </c>
      <c r="E62" t="s">
        <v>149</v>
      </c>
      <c r="F62" t="s">
        <v>221</v>
      </c>
      <c r="H62">
        <v>0</v>
      </c>
      <c r="P62">
        <f t="shared" si="3"/>
        <v>1</v>
      </c>
      <c r="AD62">
        <v>1</v>
      </c>
    </row>
    <row r="63" spans="1:35" x14ac:dyDescent="0.3">
      <c r="A63" s="3" t="s">
        <v>342</v>
      </c>
      <c r="B63" t="s">
        <v>368</v>
      </c>
      <c r="C63">
        <v>0</v>
      </c>
      <c r="D63" t="s">
        <v>67</v>
      </c>
      <c r="E63" t="s">
        <v>149</v>
      </c>
      <c r="F63" t="s">
        <v>508</v>
      </c>
      <c r="H63">
        <v>0</v>
      </c>
      <c r="P63">
        <f t="shared" si="3"/>
        <v>1</v>
      </c>
      <c r="AD63">
        <v>1</v>
      </c>
      <c r="AI63">
        <v>1</v>
      </c>
    </row>
    <row r="64" spans="1:35" x14ac:dyDescent="0.3">
      <c r="A64" s="3" t="s">
        <v>342</v>
      </c>
      <c r="B64" t="s">
        <v>360</v>
      </c>
      <c r="C64">
        <v>0</v>
      </c>
      <c r="D64" t="s">
        <v>219</v>
      </c>
      <c r="E64" t="s">
        <v>220</v>
      </c>
      <c r="F64" t="s">
        <v>461</v>
      </c>
      <c r="H64">
        <v>0</v>
      </c>
      <c r="P64">
        <f t="shared" si="3"/>
        <v>1</v>
      </c>
      <c r="AD64">
        <v>1</v>
      </c>
    </row>
    <row r="65" spans="1:35" x14ac:dyDescent="0.3">
      <c r="A65" s="3" t="s">
        <v>342</v>
      </c>
      <c r="B65" t="s">
        <v>369</v>
      </c>
      <c r="C65">
        <v>0</v>
      </c>
      <c r="D65" t="s">
        <v>365</v>
      </c>
      <c r="E65" t="s">
        <v>366</v>
      </c>
      <c r="F65" t="s">
        <v>367</v>
      </c>
      <c r="H65">
        <v>0</v>
      </c>
      <c r="P65">
        <f t="shared" si="3"/>
        <v>1</v>
      </c>
      <c r="AD65">
        <v>1</v>
      </c>
      <c r="AH65">
        <v>1</v>
      </c>
      <c r="AI65">
        <v>1</v>
      </c>
    </row>
    <row r="66" spans="1:35" x14ac:dyDescent="0.3">
      <c r="A66" s="3" t="s">
        <v>342</v>
      </c>
      <c r="B66" t="s">
        <v>61</v>
      </c>
      <c r="C66">
        <v>1</v>
      </c>
      <c r="D66" t="s">
        <v>44</v>
      </c>
      <c r="E66" t="s">
        <v>147</v>
      </c>
      <c r="F66" t="s">
        <v>293</v>
      </c>
      <c r="H66">
        <v>9</v>
      </c>
      <c r="K66">
        <v>1</v>
      </c>
      <c r="P66">
        <f t="shared" si="3"/>
        <v>1</v>
      </c>
      <c r="AA66">
        <v>1</v>
      </c>
    </row>
    <row r="67" spans="1:35" x14ac:dyDescent="0.3">
      <c r="A67" s="3" t="s">
        <v>342</v>
      </c>
      <c r="B67" t="s">
        <v>86</v>
      </c>
      <c r="C67">
        <v>3</v>
      </c>
      <c r="D67" t="s">
        <v>67</v>
      </c>
      <c r="E67" t="s">
        <v>147</v>
      </c>
      <c r="F67" t="s">
        <v>320</v>
      </c>
      <c r="H67">
        <v>8</v>
      </c>
      <c r="J67">
        <v>1</v>
      </c>
      <c r="P67">
        <f t="shared" si="3"/>
        <v>1</v>
      </c>
      <c r="AA67">
        <v>1</v>
      </c>
    </row>
    <row r="68" spans="1:35" x14ac:dyDescent="0.3">
      <c r="A68" s="3" t="s">
        <v>342</v>
      </c>
      <c r="B68" t="s">
        <v>87</v>
      </c>
      <c r="C68">
        <v>3</v>
      </c>
      <c r="D68" t="s">
        <v>67</v>
      </c>
      <c r="E68" t="s">
        <v>147</v>
      </c>
      <c r="F68" t="s">
        <v>321</v>
      </c>
      <c r="H68">
        <v>8</v>
      </c>
      <c r="J68">
        <v>1</v>
      </c>
      <c r="P68">
        <f t="shared" si="3"/>
        <v>1</v>
      </c>
      <c r="AA68">
        <v>1</v>
      </c>
    </row>
    <row r="69" spans="1:35" x14ac:dyDescent="0.3">
      <c r="A69" s="3" t="s">
        <v>342</v>
      </c>
      <c r="B69" t="s">
        <v>103</v>
      </c>
      <c r="C69">
        <v>1</v>
      </c>
      <c r="D69" t="s">
        <v>67</v>
      </c>
      <c r="E69" t="s">
        <v>147</v>
      </c>
      <c r="F69" t="s">
        <v>482</v>
      </c>
      <c r="H69">
        <v>7</v>
      </c>
      <c r="K69">
        <v>1</v>
      </c>
      <c r="M69">
        <v>1</v>
      </c>
      <c r="O69">
        <v>1</v>
      </c>
      <c r="P69">
        <f t="shared" si="3"/>
        <v>1</v>
      </c>
      <c r="AA69">
        <v>1</v>
      </c>
    </row>
    <row r="70" spans="1:35" x14ac:dyDescent="0.3">
      <c r="A70" s="3" t="s">
        <v>342</v>
      </c>
      <c r="B70" t="s">
        <v>275</v>
      </c>
      <c r="C70">
        <v>2</v>
      </c>
      <c r="D70" t="s">
        <v>270</v>
      </c>
      <c r="E70" t="s">
        <v>276</v>
      </c>
      <c r="F70" t="s">
        <v>358</v>
      </c>
      <c r="H70">
        <v>3</v>
      </c>
      <c r="I70">
        <v>1</v>
      </c>
      <c r="P70">
        <f t="shared" ref="P70:P100" si="4">SUM(Q70:AE70)</f>
        <v>1</v>
      </c>
      <c r="AA70">
        <v>1</v>
      </c>
      <c r="AH70">
        <v>1</v>
      </c>
    </row>
    <row r="71" spans="1:35" x14ac:dyDescent="0.3">
      <c r="A71" s="3" t="s">
        <v>342</v>
      </c>
      <c r="B71" t="s">
        <v>277</v>
      </c>
      <c r="C71">
        <v>3</v>
      </c>
      <c r="D71" t="s">
        <v>270</v>
      </c>
      <c r="E71" t="s">
        <v>276</v>
      </c>
      <c r="F71" t="s">
        <v>442</v>
      </c>
      <c r="H71">
        <v>15</v>
      </c>
      <c r="I71">
        <v>1</v>
      </c>
      <c r="P71">
        <f t="shared" si="4"/>
        <v>1</v>
      </c>
      <c r="AA71">
        <v>1</v>
      </c>
    </row>
    <row r="72" spans="1:35" x14ac:dyDescent="0.3">
      <c r="A72" s="3" t="s">
        <v>342</v>
      </c>
      <c r="B72" t="s">
        <v>278</v>
      </c>
      <c r="C72">
        <v>2</v>
      </c>
      <c r="D72" t="s">
        <v>270</v>
      </c>
      <c r="E72" t="s">
        <v>276</v>
      </c>
      <c r="F72" t="s">
        <v>292</v>
      </c>
      <c r="H72">
        <v>12</v>
      </c>
      <c r="I72">
        <v>1</v>
      </c>
      <c r="P72">
        <f t="shared" si="4"/>
        <v>1</v>
      </c>
      <c r="AA72">
        <v>1</v>
      </c>
    </row>
    <row r="73" spans="1:35" x14ac:dyDescent="0.3">
      <c r="A73" s="3" t="s">
        <v>342</v>
      </c>
      <c r="B73" t="s">
        <v>283</v>
      </c>
      <c r="C73">
        <v>2</v>
      </c>
      <c r="D73" t="s">
        <v>270</v>
      </c>
      <c r="E73" t="s">
        <v>276</v>
      </c>
      <c r="F73" t="s">
        <v>359</v>
      </c>
      <c r="H73">
        <v>11</v>
      </c>
      <c r="I73">
        <v>1</v>
      </c>
      <c r="P73">
        <f t="shared" si="4"/>
        <v>1</v>
      </c>
      <c r="AA73">
        <v>1</v>
      </c>
    </row>
    <row r="74" spans="1:35" x14ac:dyDescent="0.3">
      <c r="A74" s="3" t="s">
        <v>342</v>
      </c>
      <c r="B74" t="s">
        <v>72</v>
      </c>
      <c r="C74">
        <v>1</v>
      </c>
      <c r="D74" t="s">
        <v>70</v>
      </c>
      <c r="E74" t="s">
        <v>138</v>
      </c>
      <c r="F74" t="s">
        <v>100</v>
      </c>
      <c r="H74">
        <v>3</v>
      </c>
      <c r="J74">
        <v>1</v>
      </c>
      <c r="P74">
        <f t="shared" si="4"/>
        <v>1</v>
      </c>
      <c r="Q74">
        <v>1</v>
      </c>
    </row>
    <row r="75" spans="1:35" x14ac:dyDescent="0.3">
      <c r="A75" s="3" t="s">
        <v>342</v>
      </c>
      <c r="B75" t="s">
        <v>152</v>
      </c>
      <c r="C75">
        <v>2</v>
      </c>
      <c r="D75" t="s">
        <v>70</v>
      </c>
      <c r="E75" t="s">
        <v>138</v>
      </c>
      <c r="F75" t="s">
        <v>291</v>
      </c>
      <c r="H75">
        <v>5</v>
      </c>
      <c r="J75">
        <v>1</v>
      </c>
      <c r="P75">
        <f t="shared" si="4"/>
        <v>1</v>
      </c>
      <c r="Q75">
        <v>1</v>
      </c>
    </row>
    <row r="76" spans="1:35" x14ac:dyDescent="0.3">
      <c r="A76" s="3" t="s">
        <v>342</v>
      </c>
      <c r="B76" t="s">
        <v>154</v>
      </c>
      <c r="C76">
        <v>3</v>
      </c>
      <c r="D76" t="s">
        <v>70</v>
      </c>
      <c r="E76" t="s">
        <v>138</v>
      </c>
      <c r="F76" t="s">
        <v>334</v>
      </c>
      <c r="H76">
        <v>7</v>
      </c>
      <c r="K76">
        <v>1</v>
      </c>
      <c r="P76">
        <f t="shared" si="4"/>
        <v>1</v>
      </c>
      <c r="Q76">
        <v>1</v>
      </c>
    </row>
    <row r="77" spans="1:35" x14ac:dyDescent="0.3">
      <c r="A77" s="3" t="s">
        <v>342</v>
      </c>
      <c r="B77" t="s">
        <v>73</v>
      </c>
      <c r="C77">
        <v>3</v>
      </c>
      <c r="D77" t="s">
        <v>67</v>
      </c>
      <c r="E77" t="s">
        <v>144</v>
      </c>
      <c r="F77" t="s">
        <v>361</v>
      </c>
      <c r="H77">
        <v>6</v>
      </c>
      <c r="I77">
        <v>1</v>
      </c>
      <c r="P77">
        <f t="shared" si="4"/>
        <v>1</v>
      </c>
      <c r="X77">
        <v>1</v>
      </c>
      <c r="AI77">
        <v>1</v>
      </c>
    </row>
    <row r="78" spans="1:35" x14ac:dyDescent="0.3">
      <c r="A78" s="3" t="s">
        <v>342</v>
      </c>
      <c r="B78" t="s">
        <v>74</v>
      </c>
      <c r="C78">
        <v>3</v>
      </c>
      <c r="D78" t="s">
        <v>67</v>
      </c>
      <c r="E78" t="s">
        <v>144</v>
      </c>
      <c r="F78" t="s">
        <v>362</v>
      </c>
      <c r="H78">
        <v>6</v>
      </c>
      <c r="I78">
        <v>1</v>
      </c>
      <c r="P78">
        <f t="shared" si="4"/>
        <v>1</v>
      </c>
      <c r="X78">
        <v>1</v>
      </c>
      <c r="AH78">
        <v>1</v>
      </c>
    </row>
    <row r="79" spans="1:35" x14ac:dyDescent="0.3">
      <c r="A79" s="3" t="s">
        <v>342</v>
      </c>
      <c r="B79" t="s">
        <v>75</v>
      </c>
      <c r="C79">
        <v>1</v>
      </c>
      <c r="D79" t="s">
        <v>67</v>
      </c>
      <c r="E79" t="s">
        <v>144</v>
      </c>
      <c r="F79" t="s">
        <v>487</v>
      </c>
      <c r="H79">
        <v>7</v>
      </c>
      <c r="I79">
        <v>1</v>
      </c>
      <c r="P79">
        <f t="shared" si="4"/>
        <v>1</v>
      </c>
      <c r="X79">
        <v>1</v>
      </c>
    </row>
    <row r="80" spans="1:35" x14ac:dyDescent="0.3">
      <c r="A80" s="3" t="s">
        <v>342</v>
      </c>
      <c r="B80" t="s">
        <v>85</v>
      </c>
      <c r="C80">
        <v>3</v>
      </c>
      <c r="D80" t="s">
        <v>67</v>
      </c>
      <c r="E80" t="s">
        <v>144</v>
      </c>
      <c r="F80" t="s">
        <v>455</v>
      </c>
      <c r="H80">
        <v>8</v>
      </c>
      <c r="I80">
        <v>1</v>
      </c>
      <c r="P80">
        <f t="shared" si="4"/>
        <v>1</v>
      </c>
      <c r="X80">
        <v>1</v>
      </c>
    </row>
    <row r="81" spans="1:36" x14ac:dyDescent="0.3">
      <c r="A81" s="3" t="s">
        <v>342</v>
      </c>
      <c r="B81" t="s">
        <v>93</v>
      </c>
      <c r="C81">
        <v>0</v>
      </c>
      <c r="D81" t="s">
        <v>67</v>
      </c>
      <c r="E81" t="s">
        <v>144</v>
      </c>
      <c r="F81" t="s">
        <v>94</v>
      </c>
      <c r="H81">
        <v>5</v>
      </c>
      <c r="K81">
        <v>1</v>
      </c>
      <c r="M81">
        <v>1</v>
      </c>
      <c r="P81">
        <f t="shared" si="4"/>
        <v>1</v>
      </c>
      <c r="X81">
        <v>1</v>
      </c>
    </row>
    <row r="82" spans="1:36" x14ac:dyDescent="0.3">
      <c r="A82" s="3" t="s">
        <v>342</v>
      </c>
      <c r="B82" t="s">
        <v>185</v>
      </c>
      <c r="C82">
        <v>1</v>
      </c>
      <c r="D82" t="s">
        <v>184</v>
      </c>
      <c r="E82" t="s">
        <v>186</v>
      </c>
      <c r="F82" t="s">
        <v>303</v>
      </c>
      <c r="H82">
        <v>5</v>
      </c>
      <c r="I82">
        <v>1</v>
      </c>
      <c r="P82">
        <f t="shared" si="4"/>
        <v>1</v>
      </c>
      <c r="X82">
        <v>1</v>
      </c>
    </row>
    <row r="83" spans="1:36" x14ac:dyDescent="0.3">
      <c r="A83" s="3" t="s">
        <v>342</v>
      </c>
      <c r="B83" t="s">
        <v>249</v>
      </c>
      <c r="C83">
        <v>2</v>
      </c>
      <c r="D83" t="s">
        <v>243</v>
      </c>
      <c r="E83" t="s">
        <v>244</v>
      </c>
      <c r="F83" t="s">
        <v>361</v>
      </c>
      <c r="H83">
        <v>3</v>
      </c>
      <c r="I83">
        <v>1</v>
      </c>
      <c r="P83">
        <f t="shared" si="4"/>
        <v>1</v>
      </c>
      <c r="X83">
        <v>1</v>
      </c>
      <c r="AI83">
        <v>1</v>
      </c>
    </row>
    <row r="84" spans="1:36" x14ac:dyDescent="0.3">
      <c r="A84" s="3" t="s">
        <v>342</v>
      </c>
      <c r="B84" t="s">
        <v>245</v>
      </c>
      <c r="C84">
        <v>2</v>
      </c>
      <c r="D84" t="s">
        <v>243</v>
      </c>
      <c r="E84" t="s">
        <v>244</v>
      </c>
      <c r="F84" t="s">
        <v>363</v>
      </c>
      <c r="H84">
        <v>3</v>
      </c>
      <c r="I84">
        <v>1</v>
      </c>
      <c r="P84">
        <f t="shared" si="4"/>
        <v>1</v>
      </c>
      <c r="X84">
        <v>1</v>
      </c>
      <c r="AJ84">
        <v>1</v>
      </c>
    </row>
    <row r="85" spans="1:36" x14ac:dyDescent="0.3">
      <c r="A85" s="3" t="s">
        <v>342</v>
      </c>
      <c r="B85" t="s">
        <v>246</v>
      </c>
      <c r="C85">
        <v>3</v>
      </c>
      <c r="D85" t="s">
        <v>243</v>
      </c>
      <c r="E85" t="s">
        <v>244</v>
      </c>
      <c r="F85" t="s">
        <v>456</v>
      </c>
      <c r="H85">
        <v>8</v>
      </c>
      <c r="I85">
        <v>1</v>
      </c>
      <c r="P85">
        <f t="shared" si="4"/>
        <v>1</v>
      </c>
      <c r="X85">
        <v>1</v>
      </c>
    </row>
    <row r="86" spans="1:36" x14ac:dyDescent="0.3">
      <c r="A86" s="3" t="s">
        <v>342</v>
      </c>
      <c r="B86" t="s">
        <v>247</v>
      </c>
      <c r="C86">
        <v>2</v>
      </c>
      <c r="D86" t="s">
        <v>243</v>
      </c>
      <c r="E86" t="s">
        <v>244</v>
      </c>
      <c r="F86" t="s">
        <v>364</v>
      </c>
      <c r="H86">
        <v>5</v>
      </c>
      <c r="I86">
        <v>1</v>
      </c>
      <c r="P86">
        <f t="shared" si="4"/>
        <v>1</v>
      </c>
      <c r="X86">
        <v>1</v>
      </c>
      <c r="AH86">
        <v>1</v>
      </c>
    </row>
    <row r="87" spans="1:36" x14ac:dyDescent="0.3">
      <c r="A87" s="3" t="s">
        <v>342</v>
      </c>
      <c r="B87" t="s">
        <v>231</v>
      </c>
      <c r="C87">
        <v>1</v>
      </c>
      <c r="D87" t="s">
        <v>227</v>
      </c>
      <c r="E87" t="s">
        <v>232</v>
      </c>
      <c r="F87" t="s">
        <v>422</v>
      </c>
      <c r="G87" t="s">
        <v>83</v>
      </c>
      <c r="H87">
        <v>-6</v>
      </c>
      <c r="I87">
        <v>1</v>
      </c>
      <c r="P87">
        <f t="shared" si="4"/>
        <v>1</v>
      </c>
      <c r="V87">
        <v>1</v>
      </c>
      <c r="AJ87">
        <v>1</v>
      </c>
    </row>
    <row r="88" spans="1:36" x14ac:dyDescent="0.3">
      <c r="A88" s="3" t="s">
        <v>342</v>
      </c>
      <c r="B88" t="s">
        <v>233</v>
      </c>
      <c r="C88">
        <v>3</v>
      </c>
      <c r="D88" t="s">
        <v>82</v>
      </c>
      <c r="E88" t="s">
        <v>142</v>
      </c>
      <c r="F88" t="s">
        <v>486</v>
      </c>
      <c r="G88" t="s">
        <v>388</v>
      </c>
      <c r="H88">
        <v>-9</v>
      </c>
      <c r="L88">
        <v>1</v>
      </c>
      <c r="P88">
        <f t="shared" si="4"/>
        <v>1</v>
      </c>
      <c r="V88">
        <v>1</v>
      </c>
    </row>
    <row r="89" spans="1:36" x14ac:dyDescent="0.3">
      <c r="A89" s="3" t="s">
        <v>342</v>
      </c>
      <c r="B89" t="s">
        <v>136</v>
      </c>
      <c r="C89">
        <v>1</v>
      </c>
      <c r="D89" t="s">
        <v>82</v>
      </c>
      <c r="E89" t="s">
        <v>142</v>
      </c>
      <c r="F89" t="s">
        <v>425</v>
      </c>
      <c r="G89" t="s">
        <v>83</v>
      </c>
      <c r="H89">
        <v>-6</v>
      </c>
      <c r="I89">
        <v>1</v>
      </c>
      <c r="P89">
        <f t="shared" si="4"/>
        <v>1</v>
      </c>
      <c r="V89">
        <v>1</v>
      </c>
      <c r="AJ89">
        <v>1</v>
      </c>
    </row>
    <row r="90" spans="1:36" x14ac:dyDescent="0.3">
      <c r="A90" s="3" t="s">
        <v>342</v>
      </c>
      <c r="B90" t="s">
        <v>161</v>
      </c>
      <c r="C90">
        <v>3</v>
      </c>
      <c r="D90" t="s">
        <v>12</v>
      </c>
      <c r="E90" t="s">
        <v>142</v>
      </c>
      <c r="F90" t="s">
        <v>426</v>
      </c>
      <c r="G90" t="s">
        <v>388</v>
      </c>
      <c r="H90">
        <v>-12</v>
      </c>
      <c r="L90">
        <v>1</v>
      </c>
      <c r="P90">
        <f t="shared" si="4"/>
        <v>1</v>
      </c>
      <c r="V90">
        <v>1</v>
      </c>
      <c r="AH90">
        <v>1</v>
      </c>
    </row>
    <row r="91" spans="1:36" x14ac:dyDescent="0.3">
      <c r="A91" s="3" t="s">
        <v>342</v>
      </c>
      <c r="B91" t="s">
        <v>162</v>
      </c>
      <c r="C91">
        <v>3</v>
      </c>
      <c r="D91" t="s">
        <v>12</v>
      </c>
      <c r="E91" t="s">
        <v>142</v>
      </c>
      <c r="F91" t="s">
        <v>371</v>
      </c>
      <c r="G91" t="s">
        <v>427</v>
      </c>
      <c r="H91">
        <v>-12</v>
      </c>
      <c r="I91">
        <v>1</v>
      </c>
      <c r="P91">
        <f t="shared" si="4"/>
        <v>1</v>
      </c>
      <c r="V91">
        <v>1</v>
      </c>
      <c r="AJ91">
        <v>1</v>
      </c>
    </row>
    <row r="92" spans="1:36" x14ac:dyDescent="0.3">
      <c r="A92" s="3" t="s">
        <v>342</v>
      </c>
      <c r="B92" t="s">
        <v>327</v>
      </c>
      <c r="C92">
        <v>1</v>
      </c>
      <c r="D92" t="s">
        <v>223</v>
      </c>
      <c r="E92" t="s">
        <v>225</v>
      </c>
      <c r="F92" t="s">
        <v>488</v>
      </c>
      <c r="G92" t="s">
        <v>62</v>
      </c>
      <c r="H92">
        <v>-6</v>
      </c>
      <c r="L92">
        <v>1</v>
      </c>
      <c r="P92">
        <f t="shared" si="4"/>
        <v>1</v>
      </c>
      <c r="V92">
        <v>1</v>
      </c>
      <c r="AH92">
        <v>1</v>
      </c>
    </row>
    <row r="93" spans="1:36" x14ac:dyDescent="0.3">
      <c r="A93" s="3" t="s">
        <v>342</v>
      </c>
      <c r="B93" t="s">
        <v>234</v>
      </c>
      <c r="C93">
        <v>3</v>
      </c>
      <c r="D93" t="s">
        <v>227</v>
      </c>
      <c r="E93" t="s">
        <v>232</v>
      </c>
      <c r="F93" t="s">
        <v>451</v>
      </c>
      <c r="G93" t="s">
        <v>427</v>
      </c>
      <c r="H93">
        <v>-12</v>
      </c>
      <c r="I93">
        <v>1</v>
      </c>
      <c r="P93">
        <f t="shared" si="4"/>
        <v>1</v>
      </c>
      <c r="V93">
        <v>1</v>
      </c>
    </row>
    <row r="94" spans="1:36" x14ac:dyDescent="0.3">
      <c r="A94" s="3" t="s">
        <v>342</v>
      </c>
      <c r="B94" t="s">
        <v>236</v>
      </c>
      <c r="C94">
        <v>2</v>
      </c>
      <c r="D94" t="s">
        <v>227</v>
      </c>
      <c r="E94" t="s">
        <v>232</v>
      </c>
      <c r="F94" t="s">
        <v>506</v>
      </c>
      <c r="G94" t="s">
        <v>237</v>
      </c>
      <c r="H94">
        <v>-9</v>
      </c>
      <c r="I94">
        <v>1</v>
      </c>
      <c r="M94">
        <v>1</v>
      </c>
      <c r="P94">
        <f t="shared" si="4"/>
        <v>1</v>
      </c>
      <c r="V94">
        <v>1</v>
      </c>
      <c r="AI94">
        <v>1</v>
      </c>
    </row>
    <row r="95" spans="1:36" x14ac:dyDescent="0.3">
      <c r="A95" s="3" t="s">
        <v>342</v>
      </c>
      <c r="B95" t="s">
        <v>89</v>
      </c>
      <c r="C95">
        <v>0</v>
      </c>
      <c r="D95" t="s">
        <v>67</v>
      </c>
      <c r="E95" t="s">
        <v>173</v>
      </c>
      <c r="F95" t="s">
        <v>372</v>
      </c>
      <c r="H95">
        <v>1</v>
      </c>
      <c r="J95">
        <v>1</v>
      </c>
      <c r="O95">
        <v>1</v>
      </c>
      <c r="P95">
        <f t="shared" si="4"/>
        <v>1</v>
      </c>
      <c r="AE95">
        <v>1</v>
      </c>
    </row>
    <row r="96" spans="1:36" x14ac:dyDescent="0.3">
      <c r="A96" s="3" t="s">
        <v>342</v>
      </c>
      <c r="B96" t="s">
        <v>90</v>
      </c>
      <c r="C96">
        <v>0</v>
      </c>
      <c r="D96" t="s">
        <v>67</v>
      </c>
      <c r="E96" t="s">
        <v>173</v>
      </c>
      <c r="F96" t="s">
        <v>489</v>
      </c>
      <c r="H96">
        <v>0</v>
      </c>
      <c r="K96">
        <v>1</v>
      </c>
      <c r="M96">
        <v>1</v>
      </c>
      <c r="P96">
        <f t="shared" si="4"/>
        <v>1</v>
      </c>
      <c r="AE96">
        <v>1</v>
      </c>
      <c r="AJ96">
        <v>1</v>
      </c>
    </row>
    <row r="97" spans="1:36" x14ac:dyDescent="0.3">
      <c r="A97" s="3" t="s">
        <v>342</v>
      </c>
      <c r="B97" t="s">
        <v>92</v>
      </c>
      <c r="C97">
        <v>2</v>
      </c>
      <c r="D97" t="s">
        <v>67</v>
      </c>
      <c r="E97" t="s">
        <v>173</v>
      </c>
      <c r="F97" t="s">
        <v>490</v>
      </c>
      <c r="H97">
        <v>1</v>
      </c>
      <c r="K97">
        <v>1</v>
      </c>
      <c r="M97">
        <v>1</v>
      </c>
      <c r="O97">
        <v>1</v>
      </c>
      <c r="P97">
        <f t="shared" si="4"/>
        <v>1</v>
      </c>
      <c r="AE97">
        <v>1</v>
      </c>
    </row>
    <row r="98" spans="1:36" x14ac:dyDescent="0.3">
      <c r="A98" s="3" t="s">
        <v>342</v>
      </c>
      <c r="B98" t="s">
        <v>102</v>
      </c>
      <c r="C98">
        <v>0</v>
      </c>
      <c r="D98" t="s">
        <v>67</v>
      </c>
      <c r="E98" t="s">
        <v>173</v>
      </c>
      <c r="F98" t="s">
        <v>491</v>
      </c>
      <c r="H98">
        <v>0</v>
      </c>
      <c r="K98">
        <v>1</v>
      </c>
      <c r="M98">
        <v>1</v>
      </c>
      <c r="O98">
        <v>1</v>
      </c>
      <c r="P98">
        <f t="shared" si="4"/>
        <v>1</v>
      </c>
      <c r="AE98">
        <v>1</v>
      </c>
    </row>
    <row r="99" spans="1:36" x14ac:dyDescent="0.3">
      <c r="A99" s="3" t="s">
        <v>342</v>
      </c>
      <c r="B99" t="s">
        <v>318</v>
      </c>
      <c r="C99">
        <v>0</v>
      </c>
      <c r="D99" t="s">
        <v>319</v>
      </c>
      <c r="E99" t="s">
        <v>317</v>
      </c>
      <c r="F99" t="s">
        <v>492</v>
      </c>
      <c r="H99">
        <v>3</v>
      </c>
      <c r="K99">
        <v>1</v>
      </c>
      <c r="O99">
        <v>1</v>
      </c>
      <c r="P99">
        <f t="shared" si="4"/>
        <v>1</v>
      </c>
      <c r="AE99">
        <v>1</v>
      </c>
    </row>
    <row r="100" spans="1:36" x14ac:dyDescent="0.3">
      <c r="A100" s="3" t="s">
        <v>342</v>
      </c>
      <c r="B100" t="s">
        <v>377</v>
      </c>
      <c r="C100">
        <v>0</v>
      </c>
      <c r="D100" t="s">
        <v>284</v>
      </c>
      <c r="E100" t="s">
        <v>288</v>
      </c>
      <c r="F100" t="s">
        <v>378</v>
      </c>
      <c r="H100">
        <v>1</v>
      </c>
      <c r="K100">
        <v>1</v>
      </c>
      <c r="M100">
        <v>1</v>
      </c>
      <c r="P100">
        <f t="shared" si="4"/>
        <v>1</v>
      </c>
      <c r="AE100">
        <v>1</v>
      </c>
    </row>
    <row r="101" spans="1:36" x14ac:dyDescent="0.3">
      <c r="A101" s="3" t="s">
        <v>342</v>
      </c>
      <c r="B101" t="s">
        <v>375</v>
      </c>
      <c r="C101">
        <v>0</v>
      </c>
      <c r="D101" t="s">
        <v>365</v>
      </c>
      <c r="E101" t="s">
        <v>376</v>
      </c>
      <c r="F101" t="s">
        <v>500</v>
      </c>
      <c r="H101">
        <v>0</v>
      </c>
      <c r="K101">
        <v>1</v>
      </c>
      <c r="M101">
        <v>1</v>
      </c>
      <c r="O101">
        <v>1</v>
      </c>
      <c r="P101">
        <v>1</v>
      </c>
    </row>
    <row r="102" spans="1:36" x14ac:dyDescent="0.3">
      <c r="A102" s="3" t="s">
        <v>342</v>
      </c>
      <c r="B102" t="s">
        <v>272</v>
      </c>
      <c r="C102">
        <v>0</v>
      </c>
      <c r="D102" t="s">
        <v>270</v>
      </c>
      <c r="E102" t="s">
        <v>271</v>
      </c>
      <c r="F102" t="s">
        <v>429</v>
      </c>
      <c r="H102">
        <v>2</v>
      </c>
      <c r="K102">
        <v>1</v>
      </c>
      <c r="M102">
        <v>1</v>
      </c>
      <c r="O102">
        <v>1</v>
      </c>
      <c r="P102">
        <f t="shared" ref="P102:P128" si="5">SUM(Q102:AE102)</f>
        <v>1</v>
      </c>
      <c r="AE102">
        <v>1</v>
      </c>
    </row>
    <row r="103" spans="1:36" x14ac:dyDescent="0.3">
      <c r="A103" s="3" t="s">
        <v>342</v>
      </c>
      <c r="B103" t="s">
        <v>273</v>
      </c>
      <c r="C103">
        <v>0</v>
      </c>
      <c r="D103" t="s">
        <v>270</v>
      </c>
      <c r="E103" t="s">
        <v>271</v>
      </c>
      <c r="F103" t="s">
        <v>274</v>
      </c>
      <c r="H103">
        <v>1</v>
      </c>
      <c r="K103">
        <v>1</v>
      </c>
      <c r="M103">
        <v>1</v>
      </c>
      <c r="O103">
        <v>1</v>
      </c>
      <c r="P103">
        <f t="shared" si="5"/>
        <v>1</v>
      </c>
      <c r="AE103">
        <v>1</v>
      </c>
    </row>
    <row r="104" spans="1:36" x14ac:dyDescent="0.3">
      <c r="A104" s="3" t="s">
        <v>342</v>
      </c>
      <c r="B104" t="s">
        <v>96</v>
      </c>
      <c r="C104">
        <v>0</v>
      </c>
      <c r="D104" t="s">
        <v>67</v>
      </c>
      <c r="E104" t="s">
        <v>148</v>
      </c>
      <c r="F104" t="s">
        <v>373</v>
      </c>
      <c r="H104">
        <v>0</v>
      </c>
      <c r="I104">
        <v>1</v>
      </c>
      <c r="P104">
        <f t="shared" si="5"/>
        <v>1</v>
      </c>
      <c r="AB104">
        <v>1</v>
      </c>
    </row>
    <row r="105" spans="1:36" x14ac:dyDescent="0.3">
      <c r="A105" s="3" t="s">
        <v>342</v>
      </c>
      <c r="B105" t="s">
        <v>163</v>
      </c>
      <c r="C105">
        <v>0</v>
      </c>
      <c r="D105" t="s">
        <v>44</v>
      </c>
      <c r="E105" t="s">
        <v>148</v>
      </c>
      <c r="F105" t="s">
        <v>374</v>
      </c>
      <c r="H105">
        <v>0</v>
      </c>
      <c r="K105">
        <v>1</v>
      </c>
      <c r="P105">
        <f t="shared" si="5"/>
        <v>1</v>
      </c>
      <c r="AB105">
        <v>1</v>
      </c>
    </row>
    <row r="106" spans="1:36" x14ac:dyDescent="0.3">
      <c r="A106" s="3" t="s">
        <v>342</v>
      </c>
      <c r="B106" t="s">
        <v>164</v>
      </c>
      <c r="C106">
        <v>1</v>
      </c>
      <c r="D106" t="s">
        <v>379</v>
      </c>
      <c r="E106" t="s">
        <v>140</v>
      </c>
      <c r="F106" t="s">
        <v>430</v>
      </c>
      <c r="H106">
        <v>3</v>
      </c>
      <c r="I106">
        <v>1</v>
      </c>
      <c r="P106">
        <f t="shared" si="5"/>
        <v>1</v>
      </c>
      <c r="AB106">
        <v>1</v>
      </c>
    </row>
    <row r="107" spans="1:36" x14ac:dyDescent="0.3">
      <c r="A107" s="3" t="s">
        <v>342</v>
      </c>
      <c r="B107" t="s">
        <v>155</v>
      </c>
      <c r="C107">
        <v>2</v>
      </c>
      <c r="D107" t="s">
        <v>67</v>
      </c>
      <c r="E107" t="s">
        <v>145</v>
      </c>
      <c r="F107" t="s">
        <v>386</v>
      </c>
      <c r="H107">
        <v>0</v>
      </c>
      <c r="I107">
        <v>1</v>
      </c>
      <c r="P107">
        <f t="shared" si="5"/>
        <v>1</v>
      </c>
      <c r="Y107">
        <v>1</v>
      </c>
      <c r="AI107">
        <v>1</v>
      </c>
    </row>
    <row r="108" spans="1:36" x14ac:dyDescent="0.3">
      <c r="A108" s="3" t="s">
        <v>342</v>
      </c>
      <c r="B108" t="s">
        <v>156</v>
      </c>
      <c r="C108">
        <v>2</v>
      </c>
      <c r="D108" t="s">
        <v>67</v>
      </c>
      <c r="E108" t="s">
        <v>145</v>
      </c>
      <c r="F108" t="s">
        <v>428</v>
      </c>
      <c r="H108">
        <v>5</v>
      </c>
      <c r="I108">
        <v>1</v>
      </c>
      <c r="P108">
        <f t="shared" si="5"/>
        <v>1</v>
      </c>
      <c r="Y108">
        <v>1</v>
      </c>
      <c r="AJ108">
        <v>1</v>
      </c>
    </row>
    <row r="109" spans="1:36" x14ac:dyDescent="0.3">
      <c r="A109" s="3" t="s">
        <v>342</v>
      </c>
      <c r="B109" t="s">
        <v>253</v>
      </c>
      <c r="C109">
        <v>2</v>
      </c>
      <c r="D109" t="s">
        <v>243</v>
      </c>
      <c r="E109" t="s">
        <v>252</v>
      </c>
      <c r="F109" t="s">
        <v>380</v>
      </c>
      <c r="H109">
        <v>0</v>
      </c>
      <c r="L109">
        <v>1</v>
      </c>
      <c r="P109">
        <f t="shared" si="5"/>
        <v>1</v>
      </c>
      <c r="Y109">
        <v>1</v>
      </c>
      <c r="AH109">
        <v>1</v>
      </c>
    </row>
    <row r="110" spans="1:36" x14ac:dyDescent="0.3">
      <c r="A110" s="3" t="s">
        <v>342</v>
      </c>
      <c r="B110" t="s">
        <v>254</v>
      </c>
      <c r="C110">
        <v>3</v>
      </c>
      <c r="D110" t="s">
        <v>243</v>
      </c>
      <c r="E110" t="s">
        <v>252</v>
      </c>
      <c r="F110" t="s">
        <v>381</v>
      </c>
      <c r="H110">
        <v>6</v>
      </c>
      <c r="I110">
        <v>1</v>
      </c>
      <c r="P110">
        <f t="shared" si="5"/>
        <v>1</v>
      </c>
      <c r="Y110">
        <v>1</v>
      </c>
      <c r="AI110">
        <v>1</v>
      </c>
    </row>
    <row r="111" spans="1:36" x14ac:dyDescent="0.3">
      <c r="A111" s="3" t="s">
        <v>342</v>
      </c>
      <c r="B111" t="s">
        <v>251</v>
      </c>
      <c r="C111">
        <v>0</v>
      </c>
      <c r="D111" t="s">
        <v>184</v>
      </c>
      <c r="E111" t="s">
        <v>182</v>
      </c>
      <c r="F111" t="s">
        <v>431</v>
      </c>
      <c r="H111">
        <v>6</v>
      </c>
      <c r="I111">
        <v>1</v>
      </c>
      <c r="P111">
        <f t="shared" si="5"/>
        <v>1</v>
      </c>
      <c r="Y111">
        <v>1</v>
      </c>
    </row>
    <row r="112" spans="1:36" x14ac:dyDescent="0.3">
      <c r="A112" s="3" t="s">
        <v>342</v>
      </c>
      <c r="B112" t="s">
        <v>175</v>
      </c>
      <c r="C112">
        <v>0</v>
      </c>
      <c r="D112" t="s">
        <v>176</v>
      </c>
      <c r="E112" t="s">
        <v>177</v>
      </c>
      <c r="F112" t="s">
        <v>296</v>
      </c>
      <c r="H112">
        <v>1</v>
      </c>
      <c r="L112">
        <v>1</v>
      </c>
      <c r="P112">
        <f t="shared" si="5"/>
        <v>1</v>
      </c>
      <c r="R112">
        <v>1</v>
      </c>
    </row>
    <row r="113" spans="1:36" x14ac:dyDescent="0.3">
      <c r="A113" s="3" t="s">
        <v>342</v>
      </c>
      <c r="B113" t="s">
        <v>307</v>
      </c>
      <c r="C113">
        <v>0</v>
      </c>
      <c r="D113" t="s">
        <v>176</v>
      </c>
      <c r="E113" t="s">
        <v>177</v>
      </c>
      <c r="F113" t="s">
        <v>296</v>
      </c>
      <c r="H113">
        <v>1</v>
      </c>
      <c r="L113">
        <v>1</v>
      </c>
      <c r="P113">
        <f t="shared" si="5"/>
        <v>1</v>
      </c>
      <c r="R113">
        <v>1</v>
      </c>
    </row>
    <row r="114" spans="1:36" x14ac:dyDescent="0.3">
      <c r="A114" s="3" t="s">
        <v>342</v>
      </c>
      <c r="B114" t="s">
        <v>180</v>
      </c>
      <c r="C114">
        <v>0</v>
      </c>
      <c r="D114" t="s">
        <v>176</v>
      </c>
      <c r="E114" t="s">
        <v>177</v>
      </c>
      <c r="F114" t="s">
        <v>511</v>
      </c>
      <c r="H114">
        <v>1</v>
      </c>
      <c r="L114">
        <v>1</v>
      </c>
      <c r="P114">
        <f t="shared" si="5"/>
        <v>1</v>
      </c>
      <c r="R114">
        <v>1</v>
      </c>
      <c r="AH114">
        <v>1</v>
      </c>
    </row>
    <row r="115" spans="1:36" x14ac:dyDescent="0.3">
      <c r="A115" s="3" t="s">
        <v>342</v>
      </c>
      <c r="B115" t="s">
        <v>181</v>
      </c>
      <c r="C115">
        <v>0</v>
      </c>
      <c r="D115" t="s">
        <v>176</v>
      </c>
      <c r="E115" t="s">
        <v>177</v>
      </c>
      <c r="F115" t="s">
        <v>493</v>
      </c>
      <c r="H115">
        <v>1</v>
      </c>
      <c r="L115">
        <v>1</v>
      </c>
      <c r="P115">
        <f t="shared" si="5"/>
        <v>1</v>
      </c>
      <c r="R115">
        <v>1</v>
      </c>
    </row>
    <row r="116" spans="1:36" x14ac:dyDescent="0.3">
      <c r="A116" s="3" t="s">
        <v>342</v>
      </c>
      <c r="B116" t="s">
        <v>257</v>
      </c>
      <c r="C116">
        <v>1</v>
      </c>
      <c r="D116" t="s">
        <v>176</v>
      </c>
      <c r="E116" t="s">
        <v>183</v>
      </c>
      <c r="F116" t="s">
        <v>382</v>
      </c>
      <c r="H116">
        <v>3</v>
      </c>
      <c r="I116">
        <v>1</v>
      </c>
      <c r="P116">
        <f t="shared" si="5"/>
        <v>1</v>
      </c>
      <c r="T116">
        <v>1</v>
      </c>
    </row>
    <row r="117" spans="1:36" x14ac:dyDescent="0.3">
      <c r="A117" s="3" t="s">
        <v>342</v>
      </c>
      <c r="B117" t="s">
        <v>187</v>
      </c>
      <c r="C117">
        <v>1</v>
      </c>
      <c r="D117" t="s">
        <v>176</v>
      </c>
      <c r="E117" t="s">
        <v>183</v>
      </c>
      <c r="F117" t="s">
        <v>385</v>
      </c>
      <c r="H117">
        <v>3</v>
      </c>
      <c r="I117">
        <v>1</v>
      </c>
      <c r="P117">
        <f t="shared" si="5"/>
        <v>1</v>
      </c>
      <c r="T117">
        <v>1</v>
      </c>
      <c r="AJ117">
        <v>1</v>
      </c>
    </row>
    <row r="118" spans="1:36" x14ac:dyDescent="0.3">
      <c r="A118" s="3" t="s">
        <v>342</v>
      </c>
      <c r="B118" t="s">
        <v>256</v>
      </c>
      <c r="C118">
        <v>0</v>
      </c>
      <c r="D118" t="s">
        <v>176</v>
      </c>
      <c r="E118" t="s">
        <v>140</v>
      </c>
      <c r="F118" t="s">
        <v>384</v>
      </c>
      <c r="H118">
        <v>1</v>
      </c>
      <c r="I118">
        <v>1</v>
      </c>
      <c r="P118">
        <f t="shared" si="5"/>
        <v>1</v>
      </c>
      <c r="S118">
        <v>1</v>
      </c>
    </row>
    <row r="119" spans="1:36" x14ac:dyDescent="0.3">
      <c r="A119" s="3" t="s">
        <v>342</v>
      </c>
      <c r="B119" t="s">
        <v>206</v>
      </c>
      <c r="C119">
        <v>1</v>
      </c>
      <c r="D119" t="s">
        <v>204</v>
      </c>
      <c r="E119" t="s">
        <v>205</v>
      </c>
      <c r="F119" t="s">
        <v>494</v>
      </c>
      <c r="H119">
        <v>3</v>
      </c>
      <c r="K119">
        <v>1</v>
      </c>
      <c r="P119">
        <f t="shared" si="5"/>
        <v>1</v>
      </c>
      <c r="S119">
        <v>1</v>
      </c>
    </row>
    <row r="120" spans="1:36" x14ac:dyDescent="0.3">
      <c r="A120" s="3" t="s">
        <v>342</v>
      </c>
      <c r="B120" t="s">
        <v>209</v>
      </c>
      <c r="C120">
        <v>1</v>
      </c>
      <c r="D120" t="s">
        <v>210</v>
      </c>
      <c r="E120" t="s">
        <v>211</v>
      </c>
      <c r="F120" t="s">
        <v>328</v>
      </c>
      <c r="G120" t="s">
        <v>62</v>
      </c>
      <c r="H120">
        <v>-6</v>
      </c>
      <c r="J120">
        <v>1</v>
      </c>
      <c r="P120">
        <f t="shared" si="5"/>
        <v>1</v>
      </c>
      <c r="U120">
        <v>1</v>
      </c>
    </row>
    <row r="121" spans="1:36" x14ac:dyDescent="0.3">
      <c r="A121" s="3" t="s">
        <v>342</v>
      </c>
      <c r="B121" t="s">
        <v>212</v>
      </c>
      <c r="C121">
        <v>1</v>
      </c>
      <c r="D121" t="s">
        <v>210</v>
      </c>
      <c r="E121" t="s">
        <v>211</v>
      </c>
      <c r="F121" t="s">
        <v>457</v>
      </c>
      <c r="G121" t="s">
        <v>62</v>
      </c>
      <c r="H121">
        <v>-6</v>
      </c>
      <c r="J121">
        <v>1</v>
      </c>
      <c r="P121">
        <f t="shared" si="5"/>
        <v>1</v>
      </c>
      <c r="U121">
        <v>1</v>
      </c>
    </row>
    <row r="122" spans="1:36" x14ac:dyDescent="0.3">
      <c r="A122" s="3" t="s">
        <v>342</v>
      </c>
      <c r="B122" t="s">
        <v>389</v>
      </c>
      <c r="C122">
        <v>3</v>
      </c>
      <c r="D122" t="s">
        <v>12</v>
      </c>
      <c r="E122" t="s">
        <v>141</v>
      </c>
      <c r="F122" t="s">
        <v>387</v>
      </c>
      <c r="G122" t="s">
        <v>388</v>
      </c>
      <c r="H122">
        <v>-12</v>
      </c>
      <c r="J122">
        <v>1</v>
      </c>
      <c r="P122">
        <f t="shared" si="5"/>
        <v>1</v>
      </c>
      <c r="U122">
        <v>1</v>
      </c>
      <c r="AH122">
        <v>1</v>
      </c>
    </row>
    <row r="123" spans="1:36" x14ac:dyDescent="0.3">
      <c r="A123" s="3" t="s">
        <v>342</v>
      </c>
      <c r="B123" t="s">
        <v>214</v>
      </c>
      <c r="C123">
        <v>2</v>
      </c>
      <c r="D123" t="s">
        <v>210</v>
      </c>
      <c r="E123" t="s">
        <v>211</v>
      </c>
      <c r="F123" t="s">
        <v>495</v>
      </c>
      <c r="G123" t="s">
        <v>213</v>
      </c>
      <c r="H123">
        <v>-9</v>
      </c>
      <c r="J123">
        <v>1</v>
      </c>
      <c r="P123">
        <f t="shared" si="5"/>
        <v>1</v>
      </c>
      <c r="U123">
        <v>1</v>
      </c>
    </row>
    <row r="124" spans="1:36" x14ac:dyDescent="0.3">
      <c r="A124" s="3" t="s">
        <v>342</v>
      </c>
      <c r="B124" t="s">
        <v>432</v>
      </c>
      <c r="C124">
        <v>3</v>
      </c>
      <c r="D124" t="s">
        <v>12</v>
      </c>
      <c r="E124" t="s">
        <v>141</v>
      </c>
      <c r="F124" t="s">
        <v>439</v>
      </c>
      <c r="G124" t="s">
        <v>411</v>
      </c>
      <c r="H124">
        <v>-9</v>
      </c>
      <c r="J124">
        <v>1</v>
      </c>
      <c r="P124">
        <f t="shared" si="5"/>
        <v>1</v>
      </c>
      <c r="U124">
        <v>1</v>
      </c>
    </row>
    <row r="125" spans="1:36" x14ac:dyDescent="0.3">
      <c r="A125" s="3" t="s">
        <v>342</v>
      </c>
      <c r="B125" t="s">
        <v>226</v>
      </c>
      <c r="C125">
        <v>1</v>
      </c>
      <c r="D125" t="s">
        <v>227</v>
      </c>
      <c r="E125" t="s">
        <v>228</v>
      </c>
      <c r="F125" t="s">
        <v>496</v>
      </c>
      <c r="G125" t="s">
        <v>62</v>
      </c>
      <c r="H125">
        <v>-6</v>
      </c>
      <c r="J125">
        <v>1</v>
      </c>
      <c r="P125">
        <f t="shared" si="5"/>
        <v>1</v>
      </c>
      <c r="U125">
        <v>1</v>
      </c>
    </row>
    <row r="126" spans="1:36" x14ac:dyDescent="0.3">
      <c r="A126" s="4" t="s">
        <v>433</v>
      </c>
      <c r="B126" t="s">
        <v>88</v>
      </c>
      <c r="C126">
        <v>1</v>
      </c>
      <c r="D126" t="s">
        <v>82</v>
      </c>
      <c r="E126" t="s">
        <v>143</v>
      </c>
      <c r="F126" t="s">
        <v>476</v>
      </c>
      <c r="G126" t="s">
        <v>447</v>
      </c>
      <c r="H126">
        <v>-6</v>
      </c>
      <c r="J126">
        <v>1</v>
      </c>
      <c r="P126">
        <f t="shared" si="5"/>
        <v>1</v>
      </c>
      <c r="W126">
        <v>1</v>
      </c>
    </row>
    <row r="127" spans="1:36" x14ac:dyDescent="0.3">
      <c r="A127" s="3" t="s">
        <v>342</v>
      </c>
      <c r="B127" t="s">
        <v>331</v>
      </c>
      <c r="C127">
        <v>2</v>
      </c>
      <c r="D127" t="s">
        <v>227</v>
      </c>
      <c r="E127" t="s">
        <v>238</v>
      </c>
      <c r="F127" t="s">
        <v>434</v>
      </c>
      <c r="G127" t="s">
        <v>213</v>
      </c>
      <c r="H127">
        <v>-9</v>
      </c>
      <c r="L127">
        <v>1</v>
      </c>
      <c r="P127">
        <f t="shared" si="5"/>
        <v>1</v>
      </c>
      <c r="W127">
        <v>1</v>
      </c>
    </row>
    <row r="128" spans="1:36" x14ac:dyDescent="0.3">
      <c r="A128" s="3" t="s">
        <v>342</v>
      </c>
      <c r="B128" t="s">
        <v>239</v>
      </c>
      <c r="C128">
        <v>2</v>
      </c>
      <c r="D128" t="s">
        <v>227</v>
      </c>
      <c r="E128" t="s">
        <v>238</v>
      </c>
      <c r="F128" t="s">
        <v>435</v>
      </c>
      <c r="G128" t="s">
        <v>235</v>
      </c>
      <c r="H128">
        <v>-9</v>
      </c>
      <c r="I128">
        <v>1</v>
      </c>
      <c r="P128">
        <f t="shared" si="5"/>
        <v>1</v>
      </c>
      <c r="W128">
        <v>1</v>
      </c>
    </row>
    <row r="129" spans="1:34" x14ac:dyDescent="0.3">
      <c r="A129" s="3" t="s">
        <v>342</v>
      </c>
      <c r="B129" t="s">
        <v>438</v>
      </c>
      <c r="C129">
        <v>2</v>
      </c>
      <c r="D129" t="s">
        <v>406</v>
      </c>
      <c r="E129" t="s">
        <v>143</v>
      </c>
      <c r="F129" t="s">
        <v>498</v>
      </c>
      <c r="G129" t="s">
        <v>415</v>
      </c>
      <c r="H129">
        <v>-9</v>
      </c>
      <c r="L129">
        <v>1</v>
      </c>
      <c r="W129">
        <v>1</v>
      </c>
    </row>
    <row r="130" spans="1:34" x14ac:dyDescent="0.3">
      <c r="A130" s="3" t="s">
        <v>342</v>
      </c>
      <c r="B130" t="s">
        <v>432</v>
      </c>
      <c r="C130">
        <v>3</v>
      </c>
      <c r="D130" t="s">
        <v>12</v>
      </c>
      <c r="E130" t="s">
        <v>141</v>
      </c>
      <c r="F130" t="s">
        <v>439</v>
      </c>
      <c r="G130" t="s">
        <v>440</v>
      </c>
      <c r="H130">
        <v>-9</v>
      </c>
      <c r="J130">
        <v>1</v>
      </c>
      <c r="P130">
        <f t="shared" ref="P130:P147" si="6">SUM(Q130:AE130)</f>
        <v>1</v>
      </c>
      <c r="U130">
        <v>1</v>
      </c>
    </row>
    <row r="131" spans="1:34" x14ac:dyDescent="0.3">
      <c r="A131" s="3" t="s">
        <v>342</v>
      </c>
      <c r="B131" t="s">
        <v>242</v>
      </c>
      <c r="C131">
        <v>2</v>
      </c>
      <c r="D131" t="s">
        <v>227</v>
      </c>
      <c r="E131" t="s">
        <v>238</v>
      </c>
      <c r="F131" t="s">
        <v>436</v>
      </c>
      <c r="G131" t="s">
        <v>213</v>
      </c>
      <c r="H131">
        <v>-9</v>
      </c>
      <c r="L131">
        <v>1</v>
      </c>
      <c r="P131">
        <f t="shared" si="6"/>
        <v>1</v>
      </c>
      <c r="W131">
        <v>1</v>
      </c>
    </row>
    <row r="132" spans="1:34" x14ac:dyDescent="0.3">
      <c r="A132" s="3" t="s">
        <v>342</v>
      </c>
      <c r="B132" t="s">
        <v>81</v>
      </c>
      <c r="C132">
        <v>2</v>
      </c>
      <c r="D132" t="s">
        <v>82</v>
      </c>
      <c r="E132" t="s">
        <v>143</v>
      </c>
      <c r="F132" t="s">
        <v>437</v>
      </c>
      <c r="G132" t="s">
        <v>235</v>
      </c>
      <c r="H132">
        <v>-9</v>
      </c>
      <c r="L132">
        <v>1</v>
      </c>
      <c r="P132">
        <f t="shared" si="6"/>
        <v>1</v>
      </c>
      <c r="W132">
        <v>1</v>
      </c>
    </row>
    <row r="133" spans="1:34" x14ac:dyDescent="0.3">
      <c r="A133" s="3" t="s">
        <v>342</v>
      </c>
      <c r="B133" t="s">
        <v>165</v>
      </c>
      <c r="C133">
        <v>0</v>
      </c>
      <c r="D133" t="s">
        <v>44</v>
      </c>
      <c r="E133" t="s">
        <v>146</v>
      </c>
      <c r="F133" t="s">
        <v>306</v>
      </c>
      <c r="H133">
        <v>1</v>
      </c>
      <c r="J133">
        <v>1</v>
      </c>
      <c r="P133">
        <f t="shared" si="6"/>
        <v>1</v>
      </c>
      <c r="Z133">
        <v>1</v>
      </c>
    </row>
    <row r="134" spans="1:34" ht="13.5" customHeight="1" x14ac:dyDescent="0.3">
      <c r="A134" s="3" t="s">
        <v>342</v>
      </c>
      <c r="B134" t="s">
        <v>395</v>
      </c>
      <c r="C134">
        <v>3</v>
      </c>
      <c r="D134" t="s">
        <v>243</v>
      </c>
      <c r="E134" t="s">
        <v>248</v>
      </c>
      <c r="F134" t="s">
        <v>497</v>
      </c>
      <c r="H134">
        <v>0</v>
      </c>
      <c r="J134">
        <v>1</v>
      </c>
      <c r="M134">
        <v>1</v>
      </c>
      <c r="P134">
        <f t="shared" si="6"/>
        <v>1</v>
      </c>
      <c r="Z134">
        <v>1</v>
      </c>
    </row>
    <row r="135" spans="1:34" x14ac:dyDescent="0.3">
      <c r="A135" s="3" t="s">
        <v>342</v>
      </c>
      <c r="B135" t="s">
        <v>250</v>
      </c>
      <c r="C135">
        <v>3</v>
      </c>
      <c r="D135" t="s">
        <v>243</v>
      </c>
      <c r="E135" t="s">
        <v>248</v>
      </c>
      <c r="F135" t="s">
        <v>497</v>
      </c>
      <c r="H135">
        <v>0</v>
      </c>
      <c r="J135">
        <v>1</v>
      </c>
      <c r="N135">
        <v>1</v>
      </c>
      <c r="P135">
        <f t="shared" si="6"/>
        <v>1</v>
      </c>
      <c r="Z135">
        <v>1</v>
      </c>
    </row>
    <row r="136" spans="1:34" x14ac:dyDescent="0.3">
      <c r="A136" s="3" t="s">
        <v>342</v>
      </c>
      <c r="B136" t="s">
        <v>255</v>
      </c>
      <c r="C136">
        <v>0</v>
      </c>
      <c r="D136" t="s">
        <v>243</v>
      </c>
      <c r="E136" t="s">
        <v>248</v>
      </c>
      <c r="F136" t="s">
        <v>507</v>
      </c>
      <c r="H136">
        <v>12</v>
      </c>
      <c r="J136">
        <v>1</v>
      </c>
      <c r="P136">
        <f t="shared" si="6"/>
        <v>1</v>
      </c>
      <c r="Z136">
        <v>1</v>
      </c>
    </row>
    <row r="137" spans="1:34" x14ac:dyDescent="0.3">
      <c r="A137" s="3" t="s">
        <v>342</v>
      </c>
      <c r="B137" t="s">
        <v>258</v>
      </c>
      <c r="C137">
        <v>0</v>
      </c>
      <c r="D137" t="s">
        <v>243</v>
      </c>
      <c r="E137" t="s">
        <v>248</v>
      </c>
      <c r="F137" t="s">
        <v>391</v>
      </c>
      <c r="H137">
        <v>0</v>
      </c>
      <c r="J137">
        <v>1</v>
      </c>
      <c r="P137">
        <f t="shared" si="6"/>
        <v>1</v>
      </c>
      <c r="Z137">
        <v>1</v>
      </c>
    </row>
    <row r="138" spans="1:34" x14ac:dyDescent="0.3">
      <c r="A138" s="3" t="s">
        <v>342</v>
      </c>
      <c r="B138" t="s">
        <v>259</v>
      </c>
      <c r="C138">
        <v>0</v>
      </c>
      <c r="D138" t="s">
        <v>243</v>
      </c>
      <c r="E138" t="s">
        <v>248</v>
      </c>
      <c r="F138" t="s">
        <v>509</v>
      </c>
      <c r="H138">
        <v>10</v>
      </c>
      <c r="J138">
        <v>1</v>
      </c>
      <c r="P138">
        <f t="shared" si="6"/>
        <v>1</v>
      </c>
      <c r="Z138">
        <v>1</v>
      </c>
    </row>
    <row r="139" spans="1:34" x14ac:dyDescent="0.3">
      <c r="A139" s="3" t="s">
        <v>342</v>
      </c>
      <c r="B139" t="s">
        <v>260</v>
      </c>
      <c r="C139">
        <v>0</v>
      </c>
      <c r="D139" t="s">
        <v>243</v>
      </c>
      <c r="E139" t="s">
        <v>248</v>
      </c>
      <c r="F139" t="s">
        <v>261</v>
      </c>
      <c r="H139">
        <v>0</v>
      </c>
      <c r="J139">
        <v>1</v>
      </c>
      <c r="P139">
        <f t="shared" si="6"/>
        <v>1</v>
      </c>
      <c r="Z139">
        <v>1</v>
      </c>
    </row>
    <row r="140" spans="1:34" x14ac:dyDescent="0.3">
      <c r="A140" s="3" t="s">
        <v>342</v>
      </c>
      <c r="B140" t="s">
        <v>262</v>
      </c>
      <c r="C140">
        <v>1</v>
      </c>
      <c r="D140" t="s">
        <v>243</v>
      </c>
      <c r="E140" t="s">
        <v>248</v>
      </c>
      <c r="F140" t="s">
        <v>263</v>
      </c>
      <c r="H140">
        <v>11</v>
      </c>
      <c r="J140">
        <v>1</v>
      </c>
      <c r="P140">
        <f t="shared" si="6"/>
        <v>1</v>
      </c>
      <c r="Z140">
        <v>1</v>
      </c>
    </row>
    <row r="141" spans="1:34" x14ac:dyDescent="0.3">
      <c r="A141" s="3" t="s">
        <v>342</v>
      </c>
      <c r="B141" t="s">
        <v>264</v>
      </c>
      <c r="C141">
        <v>0</v>
      </c>
      <c r="D141" t="s">
        <v>243</v>
      </c>
      <c r="E141" t="s">
        <v>248</v>
      </c>
      <c r="F141" t="s">
        <v>510</v>
      </c>
      <c r="H141">
        <v>8</v>
      </c>
      <c r="J141">
        <v>1</v>
      </c>
      <c r="P141">
        <f t="shared" si="6"/>
        <v>1</v>
      </c>
      <c r="Z141">
        <v>1</v>
      </c>
    </row>
    <row r="142" spans="1:34" x14ac:dyDescent="0.3">
      <c r="A142" s="3" t="s">
        <v>342</v>
      </c>
      <c r="B142" t="s">
        <v>265</v>
      </c>
      <c r="C142">
        <v>1</v>
      </c>
      <c r="D142" t="s">
        <v>243</v>
      </c>
      <c r="E142" t="s">
        <v>248</v>
      </c>
      <c r="F142" t="s">
        <v>394</v>
      </c>
      <c r="H142">
        <v>0</v>
      </c>
      <c r="J142">
        <v>1</v>
      </c>
      <c r="O142">
        <v>1</v>
      </c>
      <c r="P142">
        <f t="shared" si="6"/>
        <v>1</v>
      </c>
      <c r="Z142">
        <v>1</v>
      </c>
      <c r="AH142">
        <v>1</v>
      </c>
    </row>
    <row r="143" spans="1:34" x14ac:dyDescent="0.3">
      <c r="A143" s="3" t="s">
        <v>342</v>
      </c>
      <c r="B143" t="s">
        <v>266</v>
      </c>
      <c r="C143">
        <v>0</v>
      </c>
      <c r="D143" t="s">
        <v>243</v>
      </c>
      <c r="E143" t="s">
        <v>248</v>
      </c>
      <c r="F143" t="s">
        <v>323</v>
      </c>
      <c r="H143">
        <v>0</v>
      </c>
      <c r="J143">
        <v>1</v>
      </c>
      <c r="P143">
        <f t="shared" si="6"/>
        <v>1</v>
      </c>
      <c r="Z143">
        <v>1</v>
      </c>
    </row>
    <row r="144" spans="1:34" x14ac:dyDescent="0.3">
      <c r="A144" s="3" t="s">
        <v>342</v>
      </c>
      <c r="B144" t="s">
        <v>279</v>
      </c>
      <c r="C144">
        <v>0</v>
      </c>
      <c r="D144" t="s">
        <v>270</v>
      </c>
      <c r="E144" t="s">
        <v>280</v>
      </c>
      <c r="F144" t="s">
        <v>322</v>
      </c>
      <c r="H144">
        <v>1</v>
      </c>
      <c r="L144">
        <v>1</v>
      </c>
      <c r="P144">
        <f t="shared" si="6"/>
        <v>1</v>
      </c>
      <c r="AC144">
        <v>1</v>
      </c>
    </row>
    <row r="145" spans="1:36" x14ac:dyDescent="0.3">
      <c r="A145" s="3" t="s">
        <v>342</v>
      </c>
      <c r="B145" t="s">
        <v>269</v>
      </c>
      <c r="C145">
        <v>2</v>
      </c>
      <c r="D145" t="s">
        <v>270</v>
      </c>
      <c r="E145" t="s">
        <v>280</v>
      </c>
      <c r="F145" t="s">
        <v>390</v>
      </c>
      <c r="H145">
        <v>0</v>
      </c>
      <c r="L145">
        <v>1</v>
      </c>
      <c r="P145">
        <f t="shared" si="6"/>
        <v>1</v>
      </c>
      <c r="AC145">
        <v>1</v>
      </c>
      <c r="AJ145">
        <v>1</v>
      </c>
    </row>
    <row r="146" spans="1:36" x14ac:dyDescent="0.3">
      <c r="A146" s="3" t="s">
        <v>342</v>
      </c>
      <c r="B146" t="s">
        <v>281</v>
      </c>
      <c r="C146">
        <v>0</v>
      </c>
      <c r="D146" t="s">
        <v>270</v>
      </c>
      <c r="E146" t="s">
        <v>280</v>
      </c>
      <c r="F146" t="s">
        <v>485</v>
      </c>
      <c r="H146">
        <v>0</v>
      </c>
      <c r="L146">
        <v>1</v>
      </c>
      <c r="P146">
        <f t="shared" si="6"/>
        <v>1</v>
      </c>
      <c r="AC146">
        <v>1</v>
      </c>
    </row>
    <row r="147" spans="1:36" x14ac:dyDescent="0.3">
      <c r="A147" s="3" t="s">
        <v>342</v>
      </c>
      <c r="B147" t="s">
        <v>282</v>
      </c>
      <c r="C147">
        <v>0</v>
      </c>
      <c r="D147" t="s">
        <v>270</v>
      </c>
      <c r="E147" t="s">
        <v>280</v>
      </c>
      <c r="F147" t="s">
        <v>450</v>
      </c>
      <c r="H147">
        <v>0</v>
      </c>
      <c r="L147">
        <v>1</v>
      </c>
      <c r="P147">
        <f t="shared" si="6"/>
        <v>1</v>
      </c>
      <c r="AC147">
        <v>1</v>
      </c>
    </row>
    <row r="148" spans="1:36" x14ac:dyDescent="0.3">
      <c r="A148" t="s">
        <v>343</v>
      </c>
      <c r="B148" t="s">
        <v>286</v>
      </c>
      <c r="C148">
        <v>0</v>
      </c>
      <c r="D148" t="s">
        <v>284</v>
      </c>
      <c r="E148" t="s">
        <v>285</v>
      </c>
      <c r="F148" t="s">
        <v>501</v>
      </c>
      <c r="H148">
        <v>0</v>
      </c>
      <c r="K148">
        <v>1</v>
      </c>
      <c r="M148">
        <v>1</v>
      </c>
      <c r="O148">
        <v>1</v>
      </c>
      <c r="P148">
        <f>SUM(Q148:AF148)</f>
        <v>1</v>
      </c>
      <c r="AF148">
        <v>1</v>
      </c>
    </row>
    <row r="149" spans="1:36" x14ac:dyDescent="0.3">
      <c r="A149" s="3" t="s">
        <v>343</v>
      </c>
      <c r="B149" t="s">
        <v>316</v>
      </c>
      <c r="C149">
        <v>3</v>
      </c>
      <c r="D149" t="s">
        <v>284</v>
      </c>
      <c r="E149" t="s">
        <v>285</v>
      </c>
      <c r="F149" t="s">
        <v>341</v>
      </c>
      <c r="H149">
        <v>0</v>
      </c>
      <c r="I149">
        <v>1</v>
      </c>
      <c r="P149">
        <f>SUM(Q149:AF149)</f>
        <v>1</v>
      </c>
      <c r="AF149">
        <v>1</v>
      </c>
    </row>
    <row r="150" spans="1:36" x14ac:dyDescent="0.3">
      <c r="A150" s="4" t="s">
        <v>343</v>
      </c>
      <c r="B150" t="s">
        <v>472</v>
      </c>
      <c r="C150">
        <v>1</v>
      </c>
      <c r="D150" t="s">
        <v>284</v>
      </c>
      <c r="E150" t="s">
        <v>285</v>
      </c>
      <c r="F150" t="s">
        <v>458</v>
      </c>
      <c r="H150">
        <v>0</v>
      </c>
      <c r="L150">
        <v>1</v>
      </c>
      <c r="P150">
        <f>SUM(Q150:AF150)</f>
        <v>1</v>
      </c>
      <c r="AF150">
        <v>1</v>
      </c>
    </row>
    <row r="151" spans="1:36" x14ac:dyDescent="0.3">
      <c r="A151" s="4" t="s">
        <v>343</v>
      </c>
      <c r="B151" t="s">
        <v>287</v>
      </c>
      <c r="C151">
        <v>0</v>
      </c>
      <c r="D151" t="s">
        <v>284</v>
      </c>
      <c r="E151" t="s">
        <v>285</v>
      </c>
      <c r="F151" t="s">
        <v>502</v>
      </c>
      <c r="H151">
        <v>0</v>
      </c>
      <c r="K151">
        <v>1</v>
      </c>
      <c r="M151">
        <v>1</v>
      </c>
      <c r="O151">
        <v>1</v>
      </c>
      <c r="P151">
        <f>SUM(Q151:AE151)</f>
        <v>0</v>
      </c>
      <c r="AF151">
        <v>1</v>
      </c>
    </row>
    <row r="152" spans="1:36" x14ac:dyDescent="0.3">
      <c r="A152" s="4" t="s">
        <v>343</v>
      </c>
      <c r="B152" t="s">
        <v>383</v>
      </c>
      <c r="C152">
        <v>3</v>
      </c>
      <c r="D152" t="s">
        <v>365</v>
      </c>
      <c r="E152" t="s">
        <v>343</v>
      </c>
      <c r="F152" t="s">
        <v>393</v>
      </c>
      <c r="H152">
        <v>0</v>
      </c>
      <c r="L152">
        <v>1</v>
      </c>
      <c r="AI152">
        <v>1</v>
      </c>
    </row>
  </sheetData>
  <autoFilter ref="A1:AJ152" xr:uid="{9B92D2AC-3DB2-4150-B4F1-18D43C823332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9A05-2163-4188-81D2-4CFBD35C3367}">
  <dimension ref="A1:AJ19"/>
  <sheetViews>
    <sheetView zoomScale="125" zoomScaleNormal="125" workbookViewId="0">
      <selection activeCell="C15" sqref="C15"/>
    </sheetView>
  </sheetViews>
  <sheetFormatPr defaultRowHeight="1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168</v>
      </c>
      <c r="F1" t="s">
        <v>229</v>
      </c>
      <c r="G1" t="s">
        <v>4</v>
      </c>
      <c r="H1" t="s">
        <v>5</v>
      </c>
      <c r="I1" t="s">
        <v>6</v>
      </c>
      <c r="J1" t="s">
        <v>7</v>
      </c>
      <c r="K1" t="s">
        <v>174</v>
      </c>
      <c r="L1" t="s">
        <v>8</v>
      </c>
      <c r="M1" t="s">
        <v>79</v>
      </c>
      <c r="N1" t="s">
        <v>80</v>
      </c>
      <c r="O1" t="s">
        <v>91</v>
      </c>
      <c r="P1" t="s">
        <v>179</v>
      </c>
      <c r="Q1" t="s">
        <v>138</v>
      </c>
      <c r="R1" t="s">
        <v>139</v>
      </c>
      <c r="S1" t="s">
        <v>140</v>
      </c>
      <c r="T1" t="s">
        <v>172</v>
      </c>
      <c r="U1" t="s">
        <v>141</v>
      </c>
      <c r="V1" t="s">
        <v>142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151</v>
      </c>
      <c r="AD1" t="s">
        <v>149</v>
      </c>
      <c r="AE1" t="s">
        <v>173</v>
      </c>
      <c r="AF1" t="s">
        <v>285</v>
      </c>
      <c r="AG1" t="s">
        <v>150</v>
      </c>
      <c r="AH1" t="s">
        <v>158</v>
      </c>
      <c r="AI1" t="s">
        <v>159</v>
      </c>
      <c r="AJ1" t="s">
        <v>160</v>
      </c>
    </row>
    <row r="2" spans="1:36" x14ac:dyDescent="0.3">
      <c r="B2" t="s">
        <v>202</v>
      </c>
      <c r="C2">
        <v>0</v>
      </c>
      <c r="D2" t="s">
        <v>67</v>
      </c>
      <c r="E2" t="s">
        <v>173</v>
      </c>
      <c r="F2" t="s">
        <v>203</v>
      </c>
      <c r="L2">
        <v>1</v>
      </c>
      <c r="N2">
        <v>1</v>
      </c>
      <c r="Q2">
        <f>SUM(R2:AF2)</f>
        <v>1</v>
      </c>
      <c r="AF2">
        <v>1</v>
      </c>
    </row>
    <row r="3" spans="1:36" x14ac:dyDescent="0.3">
      <c r="B3" t="s">
        <v>202</v>
      </c>
      <c r="C3">
        <v>0</v>
      </c>
      <c r="D3" t="s">
        <v>67</v>
      </c>
      <c r="E3" t="s">
        <v>173</v>
      </c>
      <c r="F3" t="s">
        <v>203</v>
      </c>
      <c r="L3">
        <v>1</v>
      </c>
      <c r="N3">
        <v>1</v>
      </c>
      <c r="Q3">
        <f>SUM(R3:AF3)</f>
        <v>1</v>
      </c>
      <c r="AF3">
        <v>1</v>
      </c>
    </row>
    <row r="4" spans="1:36" x14ac:dyDescent="0.3">
      <c r="B4" t="s">
        <v>240</v>
      </c>
      <c r="C4">
        <v>2</v>
      </c>
      <c r="D4" t="s">
        <v>82</v>
      </c>
      <c r="E4" t="s">
        <v>143</v>
      </c>
      <c r="F4" t="s">
        <v>308</v>
      </c>
      <c r="G4" t="s">
        <v>83</v>
      </c>
      <c r="H4">
        <v>-9</v>
      </c>
      <c r="L4">
        <v>1</v>
      </c>
      <c r="P4">
        <f t="shared" ref="P4" si="0">SUM(Q4:AE4)</f>
        <v>1</v>
      </c>
      <c r="W4">
        <v>1</v>
      </c>
      <c r="AH4">
        <v>1</v>
      </c>
    </row>
    <row r="5" spans="1:36" x14ac:dyDescent="0.3">
      <c r="B5" t="s">
        <v>290</v>
      </c>
      <c r="C5">
        <v>2</v>
      </c>
      <c r="D5" t="s">
        <v>284</v>
      </c>
      <c r="E5" t="s">
        <v>285</v>
      </c>
      <c r="F5" t="s">
        <v>315</v>
      </c>
      <c r="H5">
        <v>0</v>
      </c>
      <c r="P5">
        <f>SUM(Q5:AF5)</f>
        <v>1</v>
      </c>
      <c r="AF5">
        <v>1</v>
      </c>
    </row>
    <row r="6" spans="1:36" x14ac:dyDescent="0.3">
      <c r="A6" s="3" t="s">
        <v>342</v>
      </c>
      <c r="B6" t="s">
        <v>231</v>
      </c>
      <c r="C6">
        <v>1</v>
      </c>
      <c r="D6" t="s">
        <v>82</v>
      </c>
      <c r="E6" t="s">
        <v>142</v>
      </c>
      <c r="F6" t="s">
        <v>330</v>
      </c>
      <c r="G6" t="s">
        <v>64</v>
      </c>
      <c r="H6">
        <v>-6</v>
      </c>
      <c r="I6">
        <v>1</v>
      </c>
      <c r="P6">
        <f>SUM(Q6:AE6)</f>
        <v>1</v>
      </c>
      <c r="V6">
        <v>1</v>
      </c>
      <c r="AJ6">
        <v>1</v>
      </c>
    </row>
    <row r="7" spans="1:36" x14ac:dyDescent="0.3">
      <c r="A7" s="3" t="s">
        <v>342</v>
      </c>
      <c r="B7" t="s">
        <v>267</v>
      </c>
      <c r="C7">
        <v>0</v>
      </c>
      <c r="D7" t="s">
        <v>243</v>
      </c>
      <c r="E7" t="s">
        <v>268</v>
      </c>
      <c r="F7" t="s">
        <v>305</v>
      </c>
      <c r="H7">
        <v>0</v>
      </c>
      <c r="K7">
        <v>1</v>
      </c>
      <c r="O7">
        <v>1</v>
      </c>
      <c r="P7">
        <f>SUM(Q7:AE7)</f>
        <v>1</v>
      </c>
      <c r="AE7">
        <v>1</v>
      </c>
    </row>
    <row r="8" spans="1:36" x14ac:dyDescent="0.3">
      <c r="A8" s="3" t="s">
        <v>342</v>
      </c>
      <c r="B8" t="s">
        <v>289</v>
      </c>
      <c r="C8">
        <v>0</v>
      </c>
      <c r="D8" t="s">
        <v>67</v>
      </c>
      <c r="E8" t="s">
        <v>173</v>
      </c>
      <c r="F8" t="s">
        <v>304</v>
      </c>
      <c r="H8">
        <v>0</v>
      </c>
      <c r="K8">
        <v>1</v>
      </c>
      <c r="P8">
        <f>SUM(Q8:AE8)</f>
        <v>1</v>
      </c>
      <c r="AE8">
        <v>1</v>
      </c>
    </row>
    <row r="9" spans="1:36" x14ac:dyDescent="0.3">
      <c r="A9" s="3" t="s">
        <v>342</v>
      </c>
      <c r="B9" t="s">
        <v>256</v>
      </c>
      <c r="C9">
        <v>1</v>
      </c>
      <c r="D9" t="s">
        <v>70</v>
      </c>
      <c r="E9" t="s">
        <v>172</v>
      </c>
      <c r="F9" t="s">
        <v>333</v>
      </c>
      <c r="H9">
        <v>2</v>
      </c>
      <c r="P9">
        <f>SUM(Q9:AE9)</f>
        <v>1</v>
      </c>
      <c r="T9">
        <v>1</v>
      </c>
    </row>
    <row r="10" spans="1:36" x14ac:dyDescent="0.3">
      <c r="A10" s="4" t="s">
        <v>34</v>
      </c>
      <c r="B10" t="s">
        <v>207</v>
      </c>
      <c r="C10">
        <v>2</v>
      </c>
      <c r="D10" t="s">
        <v>70</v>
      </c>
      <c r="E10" t="s">
        <v>140</v>
      </c>
      <c r="F10" t="s">
        <v>208</v>
      </c>
      <c r="H10">
        <v>6</v>
      </c>
      <c r="K10">
        <v>1</v>
      </c>
      <c r="N10">
        <v>1</v>
      </c>
      <c r="P10">
        <f>SUM(Q10:AE10)</f>
        <v>1</v>
      </c>
      <c r="S10">
        <v>1</v>
      </c>
    </row>
    <row r="12" spans="1:36" x14ac:dyDescent="0.3">
      <c r="A12" t="s">
        <v>121</v>
      </c>
      <c r="B12" s="2" t="s">
        <v>133</v>
      </c>
      <c r="C12" t="s">
        <v>122</v>
      </c>
      <c r="D12" t="s">
        <v>123</v>
      </c>
    </row>
    <row r="13" spans="1:36" x14ac:dyDescent="0.3">
      <c r="A13" t="s">
        <v>112</v>
      </c>
      <c r="B13" s="2" t="s">
        <v>309</v>
      </c>
      <c r="C13" t="s">
        <v>313</v>
      </c>
      <c r="D13" t="s">
        <v>314</v>
      </c>
    </row>
    <row r="15" spans="1:36" x14ac:dyDescent="0.3">
      <c r="A15" s="3" t="s">
        <v>342</v>
      </c>
      <c r="B15" t="s">
        <v>230</v>
      </c>
      <c r="C15">
        <v>2</v>
      </c>
      <c r="D15" t="s">
        <v>227</v>
      </c>
      <c r="E15" t="s">
        <v>228</v>
      </c>
      <c r="F15" t="s">
        <v>329</v>
      </c>
      <c r="G15" t="s">
        <v>62</v>
      </c>
      <c r="H15">
        <v>-9</v>
      </c>
      <c r="J15">
        <v>1</v>
      </c>
      <c r="P15">
        <f>SUM(Q15:AE15)</f>
        <v>1</v>
      </c>
      <c r="U15">
        <v>1</v>
      </c>
    </row>
    <row r="16" spans="1:36" x14ac:dyDescent="0.3">
      <c r="A16" s="3" t="s">
        <v>342</v>
      </c>
      <c r="B16" t="s">
        <v>55</v>
      </c>
      <c r="C16">
        <v>2</v>
      </c>
      <c r="D16" t="s">
        <v>12</v>
      </c>
      <c r="E16" t="s">
        <v>143</v>
      </c>
      <c r="F16" t="s">
        <v>300</v>
      </c>
      <c r="G16" t="s">
        <v>21</v>
      </c>
      <c r="H16">
        <v>-9</v>
      </c>
      <c r="J16">
        <v>1</v>
      </c>
      <c r="M16">
        <v>1</v>
      </c>
      <c r="O16">
        <v>1</v>
      </c>
      <c r="P16">
        <f>SUM(Q16:AE16)</f>
        <v>1</v>
      </c>
      <c r="U16">
        <v>1</v>
      </c>
    </row>
    <row r="17" spans="1:34" x14ac:dyDescent="0.3">
      <c r="A17" s="3" t="s">
        <v>342</v>
      </c>
      <c r="B17" t="s">
        <v>241</v>
      </c>
      <c r="C17">
        <v>3</v>
      </c>
      <c r="D17" t="s">
        <v>227</v>
      </c>
      <c r="E17" t="s">
        <v>238</v>
      </c>
      <c r="F17" t="s">
        <v>392</v>
      </c>
      <c r="G17" t="s">
        <v>213</v>
      </c>
      <c r="H17">
        <v>-12</v>
      </c>
      <c r="J17">
        <v>1</v>
      </c>
      <c r="M17">
        <v>1</v>
      </c>
      <c r="P17">
        <f>SUM(Q17:AE17)</f>
        <v>1</v>
      </c>
      <c r="W17">
        <v>1</v>
      </c>
      <c r="AH17">
        <v>1</v>
      </c>
    </row>
    <row r="18" spans="1:34" x14ac:dyDescent="0.3">
      <c r="A18" s="3" t="s">
        <v>342</v>
      </c>
      <c r="B18" t="s">
        <v>307</v>
      </c>
      <c r="C18">
        <v>0</v>
      </c>
      <c r="D18" t="s">
        <v>70</v>
      </c>
      <c r="E18" t="s">
        <v>139</v>
      </c>
      <c r="F18" t="s">
        <v>178</v>
      </c>
      <c r="H18">
        <v>3</v>
      </c>
      <c r="L18">
        <v>1</v>
      </c>
      <c r="P18">
        <f t="shared" ref="P18:P19" si="1">SUM(Q18:AE18)</f>
        <v>1</v>
      </c>
      <c r="R18">
        <v>1</v>
      </c>
    </row>
    <row r="19" spans="1:34" x14ac:dyDescent="0.3">
      <c r="A19" s="3" t="s">
        <v>27</v>
      </c>
      <c r="B19" t="s">
        <v>29</v>
      </c>
      <c r="C19">
        <v>0</v>
      </c>
      <c r="D19" t="s">
        <v>12</v>
      </c>
      <c r="E19" t="s">
        <v>143</v>
      </c>
      <c r="F19" t="s">
        <v>471</v>
      </c>
      <c r="G19" t="s">
        <v>340</v>
      </c>
      <c r="H19">
        <v>2</v>
      </c>
      <c r="K19">
        <v>1</v>
      </c>
      <c r="N19">
        <v>1</v>
      </c>
      <c r="P19">
        <f t="shared" si="1"/>
        <v>1</v>
      </c>
      <c r="W19"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3717-4327-4660-A083-7C007C62135E}">
  <dimension ref="A1:D17"/>
  <sheetViews>
    <sheetView zoomScale="150" zoomScaleNormal="150" workbookViewId="0">
      <selection activeCell="D17" sqref="D17"/>
    </sheetView>
  </sheetViews>
  <sheetFormatPr defaultRowHeight="14" x14ac:dyDescent="0.3"/>
  <cols>
    <col min="2" max="2" width="8.83203125" style="2" bestFit="1" customWidth="1"/>
    <col min="3" max="3" width="26.6640625" customWidth="1"/>
    <col min="4" max="4" width="29.83203125" customWidth="1"/>
  </cols>
  <sheetData>
    <row r="1" spans="1:4" x14ac:dyDescent="0.3">
      <c r="A1" t="s">
        <v>104</v>
      </c>
      <c r="B1" s="2" t="s">
        <v>105</v>
      </c>
      <c r="C1" t="s">
        <v>106</v>
      </c>
      <c r="D1" t="s">
        <v>107</v>
      </c>
    </row>
    <row r="2" spans="1:4" x14ac:dyDescent="0.3">
      <c r="A2" t="s">
        <v>108</v>
      </c>
      <c r="B2" s="2" t="s">
        <v>131</v>
      </c>
      <c r="C2" t="s">
        <v>110</v>
      </c>
      <c r="D2" t="s">
        <v>109</v>
      </c>
    </row>
    <row r="3" spans="1:4" x14ac:dyDescent="0.3">
      <c r="A3" t="s">
        <v>113</v>
      </c>
      <c r="B3" s="2" t="s">
        <v>310</v>
      </c>
      <c r="C3" t="s">
        <v>114</v>
      </c>
      <c r="D3" t="s">
        <v>115</v>
      </c>
    </row>
    <row r="4" spans="1:4" x14ac:dyDescent="0.3">
      <c r="A4" t="s">
        <v>116</v>
      </c>
      <c r="B4" s="2" t="s">
        <v>311</v>
      </c>
      <c r="C4" t="s">
        <v>117</v>
      </c>
      <c r="D4" t="s">
        <v>118</v>
      </c>
    </row>
    <row r="5" spans="1:4" x14ac:dyDescent="0.3">
      <c r="A5" t="s">
        <v>119</v>
      </c>
      <c r="B5" s="2" t="s">
        <v>131</v>
      </c>
      <c r="C5" t="s">
        <v>124</v>
      </c>
      <c r="D5" t="s">
        <v>120</v>
      </c>
    </row>
    <row r="6" spans="1:4" x14ac:dyDescent="0.3">
      <c r="A6" t="s">
        <v>125</v>
      </c>
      <c r="B6" s="2" t="s">
        <v>311</v>
      </c>
      <c r="C6" t="s">
        <v>126</v>
      </c>
      <c r="D6" t="s">
        <v>127</v>
      </c>
    </row>
    <row r="7" spans="1:4" x14ac:dyDescent="0.3">
      <c r="A7" t="s">
        <v>128</v>
      </c>
      <c r="B7" s="2" t="s">
        <v>312</v>
      </c>
      <c r="C7" t="s">
        <v>129</v>
      </c>
      <c r="D7" t="s">
        <v>130</v>
      </c>
    </row>
    <row r="8" spans="1:4" x14ac:dyDescent="0.3">
      <c r="A8" t="s">
        <v>335</v>
      </c>
      <c r="B8" s="2" t="s">
        <v>337</v>
      </c>
      <c r="C8" t="s">
        <v>336</v>
      </c>
      <c r="D8" t="s">
        <v>400</v>
      </c>
    </row>
    <row r="9" spans="1:4" x14ac:dyDescent="0.3">
      <c r="A9" t="s">
        <v>111</v>
      </c>
      <c r="B9" s="2" t="s">
        <v>402</v>
      </c>
      <c r="C9" t="s">
        <v>445</v>
      </c>
      <c r="D9" t="s">
        <v>403</v>
      </c>
    </row>
    <row r="10" spans="1:4" x14ac:dyDescent="0.3">
      <c r="A10" t="s">
        <v>111</v>
      </c>
      <c r="B10" s="2" t="s">
        <v>402</v>
      </c>
      <c r="C10" t="s">
        <v>445</v>
      </c>
      <c r="D10" t="s">
        <v>403</v>
      </c>
    </row>
    <row r="11" spans="1:4" x14ac:dyDescent="0.3">
      <c r="A11" t="s">
        <v>351</v>
      </c>
      <c r="B11" s="2" t="s">
        <v>352</v>
      </c>
      <c r="C11" t="s">
        <v>353</v>
      </c>
      <c r="D11" t="s">
        <v>354</v>
      </c>
    </row>
    <row r="12" spans="1:4" x14ac:dyDescent="0.3">
      <c r="A12" t="s">
        <v>95</v>
      </c>
      <c r="B12" s="2" t="s">
        <v>131</v>
      </c>
      <c r="C12" t="s">
        <v>443</v>
      </c>
      <c r="D12" t="s">
        <v>444</v>
      </c>
    </row>
    <row r="13" spans="1:4" x14ac:dyDescent="0.3">
      <c r="A13" t="s">
        <v>132</v>
      </c>
      <c r="B13" s="2" t="s">
        <v>309</v>
      </c>
      <c r="C13" t="s">
        <v>355</v>
      </c>
      <c r="D13" t="s">
        <v>462</v>
      </c>
    </row>
    <row r="14" spans="1:4" x14ac:dyDescent="0.3">
      <c r="A14" t="s">
        <v>134</v>
      </c>
      <c r="B14" s="2" t="s">
        <v>309</v>
      </c>
      <c r="C14" t="s">
        <v>356</v>
      </c>
      <c r="D14" t="s">
        <v>463</v>
      </c>
    </row>
    <row r="15" spans="1:4" x14ac:dyDescent="0.3">
      <c r="A15" t="s">
        <v>135</v>
      </c>
      <c r="B15" s="2" t="s">
        <v>309</v>
      </c>
      <c r="C15" t="s">
        <v>357</v>
      </c>
      <c r="D15" t="s">
        <v>464</v>
      </c>
    </row>
    <row r="16" spans="1:4" x14ac:dyDescent="0.3">
      <c r="A16" t="s">
        <v>338</v>
      </c>
      <c r="B16" s="2" t="s">
        <v>337</v>
      </c>
      <c r="C16" t="s">
        <v>446</v>
      </c>
      <c r="D16" t="s">
        <v>401</v>
      </c>
    </row>
    <row r="17" spans="1:4" x14ac:dyDescent="0.3">
      <c r="A17" t="s">
        <v>396</v>
      </c>
      <c r="B17" s="2" t="s">
        <v>397</v>
      </c>
      <c r="C17" t="s">
        <v>399</v>
      </c>
      <c r="D17" t="s">
        <v>398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FACB-AFB4-4B82-BF82-D015D0E4A597}">
  <dimension ref="A1:J6"/>
  <sheetViews>
    <sheetView zoomScale="125" zoomScaleNormal="125" workbookViewId="0">
      <selection activeCell="A7" sqref="A7"/>
    </sheetView>
  </sheetViews>
  <sheetFormatPr defaultRowHeight="14" x14ac:dyDescent="0.3"/>
  <cols>
    <col min="4" max="4" width="26" customWidth="1"/>
  </cols>
  <sheetData>
    <row r="1" spans="1:10" x14ac:dyDescent="0.3">
      <c r="A1" t="s">
        <v>188</v>
      </c>
      <c r="B1" t="s">
        <v>189</v>
      </c>
      <c r="C1" t="s">
        <v>192</v>
      </c>
      <c r="D1" t="s">
        <v>200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</row>
    <row r="2" spans="1:10" x14ac:dyDescent="0.3">
      <c r="A2" t="s">
        <v>190</v>
      </c>
      <c r="B2">
        <v>2</v>
      </c>
      <c r="C2">
        <v>4</v>
      </c>
      <c r="D2" t="s">
        <v>350</v>
      </c>
      <c r="E2" t="s">
        <v>191</v>
      </c>
      <c r="F2" t="s">
        <v>191</v>
      </c>
      <c r="G2" t="s">
        <v>191</v>
      </c>
      <c r="H2" t="s">
        <v>191</v>
      </c>
      <c r="I2" t="s">
        <v>191</v>
      </c>
      <c r="J2" t="s">
        <v>191</v>
      </c>
    </row>
    <row r="3" spans="1:10" x14ac:dyDescent="0.3">
      <c r="A3" t="s">
        <v>201</v>
      </c>
      <c r="B3">
        <v>1</v>
      </c>
      <c r="C3">
        <v>6</v>
      </c>
      <c r="E3" t="s">
        <v>195</v>
      </c>
      <c r="F3" t="s">
        <v>195</v>
      </c>
      <c r="G3" t="s">
        <v>199</v>
      </c>
      <c r="H3" t="s">
        <v>196</v>
      </c>
      <c r="I3" t="s">
        <v>197</v>
      </c>
      <c r="J3" t="s">
        <v>197</v>
      </c>
    </row>
    <row r="4" spans="1:10" x14ac:dyDescent="0.3">
      <c r="A4" t="s">
        <v>193</v>
      </c>
      <c r="B4">
        <v>1</v>
      </c>
      <c r="C4">
        <v>5</v>
      </c>
      <c r="E4" t="s">
        <v>195</v>
      </c>
      <c r="F4" t="s">
        <v>195</v>
      </c>
      <c r="G4" t="s">
        <v>194</v>
      </c>
      <c r="H4" t="s">
        <v>194</v>
      </c>
      <c r="I4" t="s">
        <v>199</v>
      </c>
      <c r="J4" t="s">
        <v>196</v>
      </c>
    </row>
    <row r="5" spans="1:10" x14ac:dyDescent="0.3">
      <c r="A5" t="s">
        <v>198</v>
      </c>
      <c r="B5">
        <v>1</v>
      </c>
      <c r="C5">
        <v>7</v>
      </c>
      <c r="E5" t="s">
        <v>195</v>
      </c>
      <c r="F5" t="s">
        <v>195</v>
      </c>
      <c r="G5" t="s">
        <v>195</v>
      </c>
      <c r="H5" t="s">
        <v>199</v>
      </c>
      <c r="I5" t="s">
        <v>199</v>
      </c>
      <c r="J5" t="s">
        <v>196</v>
      </c>
    </row>
    <row r="6" spans="1:10" x14ac:dyDescent="0.3">
      <c r="A6" t="s">
        <v>503</v>
      </c>
      <c r="B6">
        <v>1</v>
      </c>
      <c r="C6">
        <v>5</v>
      </c>
      <c r="E6" t="s">
        <v>195</v>
      </c>
      <c r="F6" t="s">
        <v>195</v>
      </c>
      <c r="G6" t="s">
        <v>194</v>
      </c>
      <c r="H6" t="s">
        <v>197</v>
      </c>
      <c r="I6" t="s">
        <v>196</v>
      </c>
      <c r="J6" t="s">
        <v>196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卡牌设计</vt:lpstr>
      <vt:lpstr>后备</vt:lpstr>
      <vt:lpstr>目标牌</vt:lpstr>
      <vt:lpstr>君主牌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Zijie Li</cp:lastModifiedBy>
  <dcterms:created xsi:type="dcterms:W3CDTF">2026-04-05T23:09:02Z</dcterms:created>
  <dcterms:modified xsi:type="dcterms:W3CDTF">2026-06-24T23:44:28Z</dcterms:modified>
</cp:coreProperties>
</file>