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C9A12994-8786-43E8-B134-732766E17B06}" xr6:coauthVersionLast="47" xr6:coauthVersionMax="47" xr10:uidLastSave="{00000000-0000-0000-0000-000000000000}"/>
  <bookViews>
    <workbookView xWindow="-110" yWindow="-110" windowWidth="25820" windowHeight="15500" tabRatio="811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</sheets>
  <definedNames>
    <definedName name="_xlnm._FilterDatabase" localSheetId="0" hidden="1">卡牌设计!$A$1:$AJ$152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0" i="1" l="1"/>
  <c r="P17" i="4"/>
  <c r="P16" i="4"/>
  <c r="P126" i="1"/>
  <c r="P15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<sst xmlns="http://schemas.openxmlformats.org/spreadsheetml/2006/main" count="1057" uniqueCount="512">
  <si>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</si>
  <si>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</si>
  <si>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</si>
  <si>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</si>
  <si>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</si>
  <si>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</si>
  <si>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</si>
  <si>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</si>
  <si>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</si>
  <si>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</si>
  <si>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</si>
  <si>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</si>
  <si>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</si>
  <si>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被动：[流民]被存档时，自动放置回供应堆。存档[流民]的玩家获得2vp。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</si>
  <si>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</si>
  <si>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</si>
  <si>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</si>
  <si>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</si>
  <si>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</si>
  <si>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</si>
  <si>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</si>
  <si>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</si>
  <si>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</si>
  <si>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</si>
  <si>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</si>
  <si>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</si>
  <si>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</si>
  <si>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</si>
  <si>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</si>
  <si>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</si>
  <si>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</si>
  <si>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</si>
  <si>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</si>
  <si>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</si>
  <si>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</si>
  <si>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</si>
  <si>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</si>
  <si>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</si>
  <si>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</si>
  <si>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</si>
  <si>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</si>
  <si>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</si>
  <si>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</si>
  <si>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</si>
  <si>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</si>
  <si>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</si>
  <si>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</si>
  <si>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</si>
  <si>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</si>
  <si>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</si>
  <si>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</si>
  <si>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</si>
  <si>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</si>
  <si>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</si>
  <si>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</si>
  <si>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</si>
  <si>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</si>
  <si>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</si>
  <si>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</si>
  <si>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</si>
  <si>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</si>
  <si>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</si>
  <si>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</si>
  <si>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</si>
  <si>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</si>
  <si>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</si>
  <si>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</si>
  <si>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</si>
  <si>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</si>
  <si>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</si>
  <si>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</si>
  <si>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</si>
  <si>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</si>
  <si>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</si>
  <si>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</si>
  <si>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</si>
  <si>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</si>
  <si>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</si>
  <si>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</si>
  <si>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</si>
  <si>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</si>
  <si>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</si>
  <si>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</si>
  <si>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</si>
  <si>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</si>
  <si>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</si>
  <si>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</si>
  <si>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</si>
  <si>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</si>
  <si>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主动：1军力，弃1张手牌，然后摸1张手牌。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</si>
  <si>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</si>
  <si>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</si>
  <si>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</si>
  <si>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</si>
  <si>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</si>
  <si>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</si>
  <si>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</si>
  <si>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</si>
  <si>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</si>
  <si>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</si>
  <si>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</si>
  <si>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</si>
  <si>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</si>
  <si>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</si>
  <si>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</si>
  <si>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</si>
  <si>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</si>
  <si>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</si>
  <si>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</si>
  <si>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</si>
  <si>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</si>
  <si>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东晋控制[巴蜀]区域</t>
    <phoneticPr fontId="18" type="noConversion"/>
  </si>
  <si>
    <t>加九锡</t>
    <phoneticPr fontId="18" type="noConversion"/>
  </si>
  <si>
    <t>江汉之固</t>
  </si>
  <si>
    <t>河洛旧都</t>
  </si>
  <si>
    <t>东晋控制[中原]区域</t>
    <phoneticPr fontId="18" type="noConversion"/>
  </si>
  <si>
    <t>玩家控制[中原]区域</t>
    <phoneticPr fontId="18" type="noConversion"/>
  </si>
  <si>
    <t>关中故畿</t>
  </si>
  <si>
    <t>东晋控制[关中]区域</t>
    <phoneticPr fontId="18" type="noConversion"/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</si>
  <si>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</si>
  <si>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</si>
  <si>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</si>
  <si>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</si>
  <si>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</si>
  <si>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</si>
  <si>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东晋控制[山东]区域</t>
    <phoneticPr fontId="18" type="noConversion"/>
  </si>
  <si>
    <t>赵魏雄藩</t>
  </si>
  <si>
    <t>东晋控制[河北]区域</t>
    <phoneticPr fontId="18" type="noConversion"/>
  </si>
  <si>
    <t>玩家控制[河北]区域</t>
    <phoneticPr fontId="18" type="noConversion"/>
  </si>
  <si>
    <t>表里山河</t>
    <phoneticPr fontId="18" type="noConversion"/>
  </si>
  <si>
    <t>东晋控制[山西]区域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</si>
  <si>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</si>
  <si>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</si>
  <si>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</si>
  <si>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</si>
  <si>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</si>
  <si>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</si>
  <si>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</si>
  <si>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</si>
  <si>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仅限东晋玩家打出。[僭越]重洗当前君主牌，并根据牌面描述重置司马家威望，获得1威望，然后存档此牌。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</si>
  <si>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</si>
  <si>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</si>
  <si>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</si>
  <si>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</si>
  <si>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</si>
  <si>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</si>
  <si>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</si>
  <si>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</si>
  <si>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</si>
  <si>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</si>
  <si>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</si>
  <si>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</si>
  <si>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</si>
  <si>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</si>
  <si>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</si>
  <si>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</si>
  <si>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</si>
  <si>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</si>
  <si>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</si>
  <si>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</si>
  <si>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</si>
  <si>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</si>
  <si>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</si>
  <si>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</si>
  <si>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</si>
  <si>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</si>
  <si>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</si>
  <si>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</si>
  <si>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</si>
  <si>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</si>
  <si>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</si>
  <si>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</si>
  <si>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</si>
  <si>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</si>
  <si>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</si>
  <si>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</si>
  <si>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</si>
  <si>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</si>
  <si>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</si>
  <si>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</si>
  <si>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</si>
  <si>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</si>
  <si>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</si>
  <si>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</si>
  <si>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</si>
  <si>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</si>
  <si>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</si>
  <si>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</si>
  <si>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</si>
  <si>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</si>
  <si>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</si>
  <si>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</si>
  <si>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</si>
  <si>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</si>
  <si>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</si>
  <si>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</si>
  <si>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</si>
  <si>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</si>
  <si>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</si>
  <si>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</si>
  <si>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</si>
  <si>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</si>
  <si>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</si>
  <si>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</si>
  <si>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安逸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</si>
  <si>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</si>
  <si>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</si>
  <si>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</si>
  <si>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</si>
  <si>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</si>
  <si>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</si>
  <si>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</si>
  <si>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</si>
  <si>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</si>
  <si>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</si>
  <si>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</si>
  <si>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</si>
  <si>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</si>
  <si>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</si>
  <si>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</si>
  <si>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</si>
  <si>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</si>
  <si>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</si>
  <si>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</si>
  <si>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</si>
  <si>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</si>
  <si>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</si>
  <si>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</si>
  <si>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</si>
  <si>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</si>
  <si>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</si>
  <si>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</si>
  <si>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</si>
  <si>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</si>
  <si>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</si>
  <si>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</si>
  <si>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</si>
  <si>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</si>
  <si>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</si>
  <si>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</si>
  <si>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</si>
  <si>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</si>
  <si>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</si>
  <si>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</si>
  <si>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</si>
  <si>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</si>
  <si>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</si>
  <si>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</si>
  <si>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</si>
  <si>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</si>
  <si>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</si>
  <si>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</si>
  <si>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仅限东晋玩家打出。获得7军力。存档此牌。</t>
    <phoneticPr fontId="18" type="noConversion"/>
  </si>
  <si>
    <t>璇玑图</t>
    <phoneticPr fontId="18" type="noConversion"/>
  </si>
  <si>
    <t>投鞭断流</t>
    <phoneticPr fontId="18" type="noConversion"/>
  </si>
  <si>
    <t>仅限北方玩家打出。获得7军力。存档此牌。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</si>
  <si>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</si>
  <si>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</si>
  <si>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</si>
  <si>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</si>
  <si>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</si>
  <si>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选择一项：将[关中]的1个地点转化为中立占据，然后将此牌洗回牌库；或者支付5军力，存档此牌。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</si>
  <si>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</si>
  <si>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</si>
  <si>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</si>
  <si>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</si>
  <si>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</si>
  <si>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</si>
  <si>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</si>
  <si>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</si>
  <si>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</si>
  <si>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</si>
  <si>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</si>
  <si>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</si>
  <si>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</si>
  <si>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</si>
  <si>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</si>
  <si>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</si>
  <si>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</si>
  <si>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</si>
  <si>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</si>
  <si>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</si>
  <si>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</si>
  <si>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</si>
  <si>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</si>
  <si>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</si>
  <si>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</si>
  <si>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</si>
  <si>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弃置任意数量的手牌，然后摸弃置数量+1的手牌。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</si>
  <si>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</si>
  <si>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</si>
  <si>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</si>
  <si>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</si>
  <si>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</si>
  <si>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</si>
  <si>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</si>
  <si>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</si>
  <si>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</si>
  <si>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整顿军队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</si>
  <si>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</si>
  <si>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</si>
  <si>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</si>
  <si>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</si>
  <si>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被动：任意玩家提高行动顺位时，获得2vp。登场：先动值1。获得2顺位，2功绩和2威望，转化[合肥][寿春]。</t>
    <phoneticPr fontId="18" type="noConversion"/>
  </si>
  <si>
    <t>主动：弃置1张朝堂区的[流民]，然后补充1张牌到朝堂区，获得1军力。登场：先动值5。转化[京口][广陵]。获得1功绩和1威望。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</si>
  <si>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</si>
  <si>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被动：每次打出[文化]牌或者执行[文化]策略时，获得2vp。登场：先动值3。转化[张掖][姑臧]。获得1功绩和1威望。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</si>
  <si>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</si>
  <si>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</si>
  <si>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</si>
  <si>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</si>
  <si>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被动：每次执行[内政]策略或者打出[内政]牌时，获得2vp。登场：先动值2。转化[吴][会稽]。获得1功绩和1威望。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</si>
  <si>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</si>
  <si>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</si>
  <si>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</si>
  <si>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</si>
  <si>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3军力。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</si>
  <si>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</si>
  <si>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</si>
  <si>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选择一项：将[江南]或[荆襄]的1个地点转化为中立占据，然后将此牌洗回牌库；或者支付4军力，存档此牌。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</si>
  <si>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</si>
  <si>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</si>
  <si>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</si>
  <si>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</si>
  <si>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</si>
  <si>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</si>
  <si>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</si>
  <si>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</si>
  <si>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</si>
  <si>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</si>
  <si>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</si>
  <si>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仅限东晋玩家打出。选择1个东晋玩家，降低1级顺位，然后存档此牌。[僭越]额外降低1级顺位。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</si>
  <si>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</si>
  <si>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</si>
  <si>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仅限东晋玩家打出。支付7军力。选择威望、功绩或者顺位，提高1级，其他所有东晋玩家降低1级。[僭越]司马家威望降低1级，获得4vp。</t>
    <phoneticPr fontId="18" type="noConversion"/>
  </si>
  <si>
    <t>仅限东晋玩家打出。降低1点[威望]或[功绩]，转化1个司马家地点。[僭越]可以转化1个东晋玩家地点。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</si>
  <si>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</si>
  <si>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</si>
  <si>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</si>
  <si>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主动：弃1张手牌，然后摸1张牌，免费执行1次[占据]。</t>
    <phoneticPr fontId="18" type="noConversion"/>
  </si>
  <si>
    <t>主动：选择1项：摸2张手牌，然后弃2张手牌；或者弃置2张候选策略牌，然后补充2张牌到朝堂区</t>
    <phoneticPr fontId="18" type="noConversion"/>
  </si>
  <si>
    <t>在本国弃牌区放置1张[流民]。转化1个非[江南][荆襄]区域的中立地点。</t>
    <phoneticPr fontId="18" type="noConversion"/>
  </si>
  <si>
    <t>仅限东晋玩家打出。转化[太原][平阳]，然后存档此牌。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</si>
  <si>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</si>
  <si>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</si>
  <si>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</si>
  <si>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</si>
  <si>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</si>
  <si>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行动：2军力。从东晋面板获得[北伐]标记。被动：[北伐]不能被存档或征发。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</si>
  <si>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</si>
  <si>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</si>
  <si>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主动：支付2军力，提高1级顺位等级。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</si>
  <si>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</si>
  <si>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</si>
  <si>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配享文庙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</si>
  <si>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</si>
  <si>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</si>
  <si>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</si>
  <si>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</si>
  <si>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</si>
  <si>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行动：2军力，存档此牌。被动：此牌在朝堂区中时，北方和晋玩家不能相互使用[进军]。仅限北方玩家打出。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</si>
  <si>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</si>
  <si>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</si>
  <si>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</si>
  <si>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</si>
  <si>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</si>
  <si>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被动：每次获得功绩后，摸1张牌。登场：先动值8。获得2功绩（不触发被动效果）。在其他东晋玩家完成登场效果后，转化2个[建康]以外的司马家地点。</t>
    <phoneticPr fontId="18" type="noConversion"/>
  </si>
  <si>
    <t>主动：从展示区获得1张[文化]牌。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</si>
  <si>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</si>
  <si>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</si>
  <si>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主动：征发1张[军事]候选策略牌。</t>
    <phoneticPr fontId="18" type="noConversion"/>
  </si>
  <si>
    <t>强制：选择1个[玄学]区域的地点，转为中立控制。摸1张牌。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</si>
  <si>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</si>
  <si>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</si>
  <si>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</si>
  <si>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</si>
  <si>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</si>
  <si>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</si>
  <si>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</si>
  <si>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</si>
  <si>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</si>
  <si>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儒学贡献超过5，且儒学区域最多</t>
    <phoneticPr fontId="18" type="noConversion"/>
  </si>
  <si>
    <t>玄学贡献超过5，且玄学区域最多</t>
    <phoneticPr fontId="18" type="noConversion"/>
  </si>
  <si>
    <t>佛学贡献超过5，且佛学区域最多</t>
    <phoneticPr fontId="18" type="noConversion"/>
  </si>
  <si>
    <t>仅限东晋玩家打出。占据[洛阳]时，可以打出。存档此牌。[僭越]交换东晋首都和洛阳的部队。获得1[威望]。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</si>
  <si>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</si>
  <si>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</si>
  <si>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强制：在东晋弃牌区各放置1张[流民]，北方玩家弃1张手牌。将主版图弃牌区洗回牌库。摸1张牌。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</si>
  <si>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</si>
  <si>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</si>
  <si>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</si>
  <si>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</si>
  <si>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行动：传播1次文化。获得4vp。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</si>
  <si>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</si>
  <si>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</si>
  <si>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</si>
  <si>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强制：如果[儒学]区域数&gt;=[玄学]区域数，司马家威望+1；否则司马家威望-1。摸1张牌。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</si>
  <si>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</si>
  <si>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</si>
  <si>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</si>
  <si>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</si>
  <si>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X vp，X=[佛学]区域数</t>
    <phoneticPr fontId="18" type="noConversion"/>
  </si>
  <si>
    <t>行动：传播1次[玄学]。获得X vp，X=存档区牌数。</t>
    <phoneticPr fontId="18" type="noConversion"/>
  </si>
  <si>
    <t>选择1个东晋玩家，该玩家失去1军力。然后，获得1军力。[僭越]存档此牌，获得1军力。</t>
    <phoneticPr fontId="18" type="noConversion"/>
  </si>
  <si>
    <t>仅限东晋玩家打出。[佛学]贡献度&gt;1时，可以打出。支付2vp，然后转化1个东晋地点。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</si>
  <si>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</si>
  <si>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</si>
  <si>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</si>
  <si>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</si>
  <si>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</si>
  <si>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</si>
  <si>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</si>
  <si>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</si>
  <si>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</si>
  <si>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主动：没有手牌时可以使用，摸1张牌。</t>
    <phoneticPr fontId="18" type="noConversion"/>
  </si>
  <si>
    <t>被动：每当友方传播1次文化时，获得1vp。主动：选择1个版图上的文化标记翻面。</t>
    <phoneticPr fontId="18" type="noConversion"/>
  </si>
  <si>
    <t>仅限东晋玩家打出。被动：结算[僭越]效果时，获得2vp。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</si>
  <si>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</si>
  <si>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</si>
  <si>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</si>
  <si>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</si>
  <si>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</si>
  <si>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</si>
  <si>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</si>
  <si>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</si>
  <si>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</si>
  <si>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</si>
  <si>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</si>
  <si>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</si>
  <si>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</si>
  <si>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选择一项：将[巴蜀]区域的1个地点转为中立占据，然后将此牌洗回牌库；或者支付3军力，然后存档此牌。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</si>
  <si>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</si>
  <si>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</si>
  <si>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</si>
  <si>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</si>
  <si>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</si>
  <si>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</si>
  <si>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</si>
  <si>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</si>
  <si>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</si>
  <si>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</si>
  <si>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</si>
  <si>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</si>
  <si>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</si>
  <si>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</si>
  <si>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</si>
  <si>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</si>
  <si>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</si>
  <si>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</si>
  <si>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</si>
  <si>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被动：每次打出[军事]牌或执行[军事]策略，摸1张牌并获得1vp。</t>
    <phoneticPr fontId="18" type="noConversion"/>
  </si>
  <si>
    <t>2军力1vp</t>
    <phoneticPr fontId="18" type="noConversion"/>
  </si>
  <si>
    <t>行动：获得5军力。被动：占据[京口]时，才能打出、执行或征发。</t>
    <phoneticPr fontId="18" type="noConversion"/>
  </si>
  <si>
    <t>被动：每次存档1张牌时，获得2vp。登场：先动值4。转化[南郡][襄阳]。获得1功绩和1威望。</t>
    <phoneticPr fontId="18" type="noConversion"/>
  </si>
  <si>
    <t>主动：[进军]1次，费用减2。被动：每次结算[进军]后，获得1vp。</t>
    <phoneticPr fontId="18" type="noConversion"/>
  </si>
  <si>
    <t>行动：3军力，存档此牌。被动：此牌在朝堂区中时，使用快速行动执行[进军]时，费用减1。使用快速行动执行[占据]时，费用加1或支付2vp。仅限北方玩家打出。</t>
    <phoneticPr fontId="18" type="noConversion"/>
  </si>
  <si>
    <t>仅限东晋玩家打出。行动：3军力。[僭越]其他每个东晋玩家各弃1张手牌。3军力。</t>
    <phoneticPr fontId="18" type="noConversion"/>
  </si>
  <si>
    <t>被动：每次结算[转化]后，摸1张牌并获得1vp。登场：先动值6。获得4军力。获得2威望。</t>
    <phoneticPr fontId="18" type="noConversion"/>
  </si>
  <si>
    <t>主动：免费[加固]友方地点1次。如果[加固]的目标不是你占据的地点，额外获得1vp。</t>
    <phoneticPr fontId="18" type="noConversion"/>
  </si>
  <si>
    <t>行动：支付1张手牌，提高1级顺位，传播1次[玄学]。被动：[加官进爵]不能被存档、征发或弃置。[宰辅]选择[加官进爵]时，需要额外支付1手牌。</t>
    <phoneticPr fontId="18" type="noConversion"/>
  </si>
  <si>
    <t>行动：2军力。选择1个玩家，随机抽取他的1张手牌。</t>
    <phoneticPr fontId="18" type="noConversion"/>
  </si>
  <si>
    <t>行动：2军力。本回合执行[进军]时，费用减1。被动：需要控制[幽燕]，才能打出、执行或征发。</t>
    <phoneticPr fontId="18" type="noConversion"/>
  </si>
  <si>
    <t>行动：2军力。本回合执行[进军]时，费用减1。被动：控制[西凉]时，才能打出、执行或征发。</t>
    <phoneticPr fontId="18" type="noConversion"/>
  </si>
  <si>
    <t>行动：提高1级[佛学]贡献度，从供应轨移除1个[佛学]标记，获得4vp。</t>
    <phoneticPr fontId="18" type="noConversion"/>
  </si>
  <si>
    <t>主动：弃1张手牌，然后摸1张牌，可以执行1个手牌行动。登场：转化[长安][弘农][安定]（不获得vp）</t>
    <phoneticPr fontId="18" type="noConversion"/>
  </si>
  <si>
    <t>主动：弃1张手牌，然后摸1张牌，可以执行1个牌组行动。登场：转化[蓟][龙城][中山]（不获得vp）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</si>
  <si>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</si>
  <si>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</si>
  <si>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</si>
  <si>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行动：支付1军力，传播1次[儒学]，征发1张[内政]候选策略牌。</t>
    <phoneticPr fontId="18" type="noConversion"/>
  </si>
  <si>
    <t>控制[关中]时，可以打出。提高2级佛学贡献度，从供应轨移除2个[佛学]标记，存档此牌。</t>
    <phoneticPr fontId="18" type="noConversion"/>
  </si>
  <si>
    <t>仅限东晋玩家打出。提高1级顺位，然后存档此牌。[僭越]额外提高1级顺位。</t>
    <phoneticPr fontId="18" type="noConversion"/>
  </si>
  <si>
    <t>仅限东晋玩家打出。转化1个东晋地点，然后存档此牌。[僭越]获得1威望。</t>
    <phoneticPr fontId="18" type="noConversion"/>
  </si>
  <si>
    <t>仅限东晋玩家打出。存档1个幕僚，然后选择1个友方玩家的幕僚，该玩家存档被选择的幕僚。[僭越]改为选择1个友方玩家的幕僚，该玩家存档被选择的幕僚。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</si>
  <si>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</si>
  <si>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</si>
  <si>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</si>
  <si>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[加固]1次。1军力。</t>
    <phoneticPr fontId="18" type="noConversion"/>
  </si>
  <si>
    <t>行动：2军力。弃置1朝堂区的[流民]并在朝堂区补1张牌，然后获得2军力。</t>
    <phoneticPr fontId="18" type="noConversion"/>
  </si>
  <si>
    <t>具装甲骑</t>
    <phoneticPr fontId="18" type="noConversion"/>
  </si>
  <si>
    <t>东晋行动：2军力。免费[加固]2次。北方行动：转化1个中立地点，获得1军力。</t>
    <phoneticPr fontId="18" type="noConversion"/>
  </si>
  <si>
    <t>通用</t>
    <phoneticPr fontId="18" type="noConversion"/>
  </si>
  <si>
    <t>仅限东晋玩家打出。行动：选择1项：转化1个相邻中立地点。获得2军力。或者弃置1张朝堂区的[流民]牌并补充1张牌到朝堂区，获得4军力。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</si>
  <si>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</si>
  <si>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</si>
  <si>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</si>
  <si>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</si>
  <si>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</si>
  <si>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行动：摸3张牌。如果你的[内政]标记数&gt;3，额外摸1张牌。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</si>
  <si>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</si>
  <si>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</si>
  <si>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</si>
  <si>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强制：选择1个[幕僚]区空位最少的玩家，该玩家选择1个费用最高的[幕僚]存档。将主版图弃牌区洗回牌库。摸1张牌。</t>
    <phoneticPr fontId="18" type="noConversion"/>
  </si>
  <si>
    <t>具有至少4个不同的标记时，可以打出。存档此牌。</t>
    <phoneticPr fontId="18" type="noConversion"/>
  </si>
  <si>
    <t>行动：摸2张牌。如果[内政]标记数&gt;3，额外摸1张牌。</t>
    <phoneticPr fontId="18" type="noConversion"/>
  </si>
  <si>
    <t>拥有3个权谋标记</t>
    <phoneticPr fontId="18" type="noConversion"/>
  </si>
  <si>
    <t>拥有5个权谋标记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</si>
  <si>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</si>
  <si>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</si>
  <si>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</si>
  <si>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</si>
  <si>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主动：弃1张手牌，然后摸1张牌，获得X军力，X=[军事]标记数（最多6）。登场：转化[盛乐][平城]（不获得vp），获得4军力。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</si>
  <si>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</si>
  <si>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</si>
  <si>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</si>
  <si>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幕僚区有空位时，可以打出。获得8军力，然后将此牌洗回牌库。</t>
    <phoneticPr fontId="18" type="noConversion"/>
  </si>
  <si>
    <t>主动：获得X vp，X=[文化]标记数。然后，可以支付2vp，摸1张牌。</t>
    <phoneticPr fontId="18" type="noConversion"/>
  </si>
  <si>
    <t>被动：幕僚区空位总数为6。主动：如果拥有4种不同的标记各1个，获得1个朝堂行动；否则，可以打出1张幕僚牌，然后摸1张牌。登场：先动值7。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</si>
  <si>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</si>
  <si>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</si>
  <si>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</si>
  <si>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行动：支付3vp，转化2个相邻中立地点。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</si>
</sst>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tabSelected="1" zoomScale="125" zoomScaleNormal="12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5" sqref="F15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170</v>
      </c>
      <c r="F1" t="s">
        <v>232</v>
      </c>
      <c r="G1" t="s">
        <v>4</v>
      </c>
      <c r="H1" t="s">
        <v>5</v>
      </c>
      <c r="I1" t="s">
        <v>6</v>
      </c>
      <c r="J1" t="s">
        <v>7</v>
      </c>
      <c r="K1" t="s">
        <v>176</v>
      </c>
      <c r="L1" t="s">
        <v>8</v>
      </c>
      <c r="M1" t="s">
        <v>79</v>
      </c>
      <c r="N1" t="s">
        <v>80</v>
      </c>
      <c r="O1" t="s">
        <v>92</v>
      </c>
      <c r="P1" t="s">
        <v>181</v>
      </c>
      <c r="Q1" t="s">
        <v>140</v>
      </c>
      <c r="R1" t="s">
        <v>141</v>
      </c>
      <c r="S1" t="s">
        <v>142</v>
      </c>
      <c r="T1" t="s">
        <v>174</v>
      </c>
      <c r="U1" t="s">
        <v>143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149</v>
      </c>
      <c r="AB1" t="s">
        <v>150</v>
      </c>
      <c r="AC1" t="s">
        <v>153</v>
      </c>
      <c r="AD1" t="s">
        <v>151</v>
      </c>
      <c r="AE1" t="s">
        <v>175</v>
      </c>
      <c r="AF1" t="s">
        <v>292</v>
      </c>
      <c r="AG1" t="s">
        <v>152</v>
      </c>
      <c r="AH1" t="s">
        <v>160</v>
      </c>
      <c r="AI1" t="s">
        <v>161</v>
      </c>
      <c r="AJ1" t="s">
        <v>162</v>
      </c>
    </row>
    <row r="2" spans="1:36" x14ac:dyDescent="0.3">
      <c r="A2" t="s">
        <v>9</v>
      </c>
      <c r="C2" s="1">
        <f>AVERAGE(C12:C165)</f>
        <v>1.4351145038167938</v>
      </c>
      <c r="I2">
        <f t="shared" ref="I2:O2" si="0">SUM(I3:I165)</f>
        <v>36</v>
      </c>
      <c r="J2">
        <f t="shared" si="0"/>
        <v>47</v>
      </c>
      <c r="K2">
        <f t="shared" si="0"/>
        <v>28</v>
      </c>
      <c r="L2">
        <f t="shared" si="0"/>
        <v>31</v>
      </c>
      <c r="M2">
        <f t="shared" si="0"/>
        <v>11</v>
      </c>
      <c r="N2">
        <f t="shared" si="0"/>
        <v>2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9</v>
      </c>
      <c r="AI2">
        <f>SUM(AI3:AI165)</f>
        <v>8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171</v>
      </c>
      <c r="F3" t="s">
        <v>13</v>
      </c>
      <c r="G3" t="s">
        <v>14</v>
      </c>
      <c r="H3">
        <v>2</v>
      </c>
      <c r="P3">
        <f>SUM(Q3:AE3)</f>
        <v>0</v>
      </c>
    </row>
    <row r="4" spans="1:36" x14ac:dyDescent="0.3">
      <c r="A4" s="3" t="s">
        <v>10</v>
      </c>
      <c r="B4" t="s">
        <v>15</v>
      </c>
      <c r="C4">
        <v>0</v>
      </c>
      <c r="D4" t="s">
        <v>12</v>
      </c>
      <c r="E4" t="s">
        <v>171</v>
      </c>
      <c r="F4" t="s">
        <v>16</v>
      </c>
      <c r="G4" t="s">
        <v>17</v>
      </c>
      <c r="H4">
        <v>2</v>
      </c>
      <c r="P4">
        <f>SUM(Q4:AE4)</f>
        <v>0</v>
      </c>
    </row>
    <row r="5" spans="1:36" x14ac:dyDescent="0.3">
      <c r="A5" s="3" t="s">
        <v>10</v>
      </c>
      <c r="B5" t="s">
        <v>445</v>
      </c>
      <c r="C5">
        <v>0</v>
      </c>
      <c r="D5" t="s">
        <v>441</v>
      </c>
      <c r="E5" t="s">
        <v>442</v>
      </c>
      <c r="F5" t="s">
        <v>443</v>
      </c>
      <c r="G5" t="s">
        <v>444</v>
      </c>
      <c r="H5">
        <v>2</v>
      </c>
      <c r="I5">
        <v>1</v>
      </c>
    </row>
    <row r="6" spans="1:36" x14ac:dyDescent="0.3">
      <c r="A6" s="4" t="s">
        <v>10</v>
      </c>
      <c r="B6" t="s">
        <v>18</v>
      </c>
      <c r="C6">
        <v>0</v>
      </c>
      <c r="D6" t="s">
        <v>12</v>
      </c>
      <c r="E6" t="s">
        <v>171</v>
      </c>
      <c r="F6" t="s">
        <v>63</v>
      </c>
      <c r="G6" t="s">
        <v>491</v>
      </c>
      <c r="H6">
        <v>2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19</v>
      </c>
      <c r="C7">
        <v>0</v>
      </c>
      <c r="D7" t="s">
        <v>12</v>
      </c>
      <c r="E7" t="s">
        <v>171</v>
      </c>
      <c r="F7" t="s">
        <v>494</v>
      </c>
      <c r="G7" t="s">
        <v>491</v>
      </c>
      <c r="H7">
        <v>2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20</v>
      </c>
      <c r="C8">
        <v>1</v>
      </c>
      <c r="D8" t="s">
        <v>12</v>
      </c>
      <c r="E8" t="s">
        <v>171</v>
      </c>
      <c r="F8" t="s">
        <v>348</v>
      </c>
      <c r="G8" t="s">
        <v>62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22</v>
      </c>
      <c r="C9">
        <v>1</v>
      </c>
      <c r="D9" t="s">
        <v>12</v>
      </c>
      <c r="E9" t="s">
        <v>171</v>
      </c>
      <c r="F9" t="s">
        <v>459</v>
      </c>
      <c r="G9" t="s">
        <v>499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440</v>
      </c>
      <c r="C10">
        <v>2</v>
      </c>
      <c r="D10" t="s">
        <v>12</v>
      </c>
      <c r="E10" t="s">
        <v>171</v>
      </c>
      <c r="F10" t="s">
        <v>460</v>
      </c>
      <c r="G10" t="s">
        <v>451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23</v>
      </c>
      <c r="B11" t="s">
        <v>23</v>
      </c>
      <c r="C11" t="s">
        <v>14</v>
      </c>
      <c r="D11" t="s">
        <v>24</v>
      </c>
      <c r="E11" t="s">
        <v>172</v>
      </c>
      <c r="F11" t="s">
        <v>464</v>
      </c>
      <c r="L11">
        <v>1</v>
      </c>
      <c r="P11">
        <f t="shared" si="2"/>
        <v>0</v>
      </c>
    </row>
    <row r="12" spans="1:36" x14ac:dyDescent="0.3">
      <c r="A12" s="3" t="s">
        <v>23</v>
      </c>
      <c r="B12" t="s">
        <v>25</v>
      </c>
      <c r="C12">
        <v>3</v>
      </c>
      <c r="D12" t="s">
        <v>26</v>
      </c>
      <c r="E12" t="s">
        <v>140</v>
      </c>
      <c r="F12" t="s">
        <v>500</v>
      </c>
      <c r="H12">
        <v>8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23</v>
      </c>
      <c r="B13" t="s">
        <v>36</v>
      </c>
      <c r="C13">
        <v>2</v>
      </c>
      <c r="D13" t="s">
        <v>26</v>
      </c>
      <c r="E13" t="s">
        <v>142</v>
      </c>
      <c r="F13" t="s">
        <v>338</v>
      </c>
      <c r="G13" t="s">
        <v>14</v>
      </c>
      <c r="H13">
        <v>6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23</v>
      </c>
      <c r="B14" t="s">
        <v>88</v>
      </c>
      <c r="C14">
        <v>2</v>
      </c>
      <c r="D14" t="s">
        <v>82</v>
      </c>
      <c r="E14" t="s">
        <v>145</v>
      </c>
      <c r="F14" t="s">
        <v>511</v>
      </c>
      <c r="G14" t="s">
        <v>216</v>
      </c>
      <c r="H14">
        <v>-9</v>
      </c>
      <c r="J14">
        <v>1</v>
      </c>
      <c r="P14">
        <f t="shared" si="2"/>
        <v>1</v>
      </c>
      <c r="W14">
        <v>1</v>
      </c>
    </row>
    <row r="15" spans="1:36" x14ac:dyDescent="0.3">
      <c r="A15" t="s">
        <v>27</v>
      </c>
      <c r="B15" t="s">
        <v>28</v>
      </c>
      <c r="C15" t="s">
        <v>14</v>
      </c>
      <c r="D15" t="s">
        <v>24</v>
      </c>
      <c r="E15" t="s">
        <v>172</v>
      </c>
      <c r="F15" t="s">
        <v>465</v>
      </c>
      <c r="J15">
        <v>1</v>
      </c>
      <c r="P15">
        <f t="shared" si="2"/>
        <v>0</v>
      </c>
    </row>
    <row r="16" spans="1:36" x14ac:dyDescent="0.3">
      <c r="A16" s="3" t="s">
        <v>27</v>
      </c>
      <c r="B16" t="s">
        <v>29</v>
      </c>
      <c r="C16">
        <v>0</v>
      </c>
      <c r="D16" t="s">
        <v>12</v>
      </c>
      <c r="E16" t="s">
        <v>145</v>
      </c>
      <c r="F16" t="s">
        <v>360</v>
      </c>
      <c r="G16" t="s">
        <v>359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27</v>
      </c>
      <c r="B17" t="s">
        <v>30</v>
      </c>
      <c r="C17">
        <v>3</v>
      </c>
      <c r="D17" t="s">
        <v>12</v>
      </c>
      <c r="E17" t="s">
        <v>143</v>
      </c>
      <c r="F17" t="s">
        <v>461</v>
      </c>
      <c r="G17" t="s">
        <v>446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27</v>
      </c>
      <c r="B18" t="s">
        <v>69</v>
      </c>
      <c r="C18">
        <v>2</v>
      </c>
      <c r="D18" t="s">
        <v>70</v>
      </c>
      <c r="E18" t="s">
        <v>140</v>
      </c>
      <c r="F18" t="s">
        <v>89</v>
      </c>
      <c r="H18">
        <v>6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31</v>
      </c>
      <c r="B19" t="s">
        <v>32</v>
      </c>
      <c r="C19" t="s">
        <v>14</v>
      </c>
      <c r="D19" t="s">
        <v>24</v>
      </c>
      <c r="E19" t="s">
        <v>172</v>
      </c>
      <c r="F19" t="s">
        <v>501</v>
      </c>
      <c r="J19">
        <v>1</v>
      </c>
      <c r="P19">
        <f t="shared" si="2"/>
        <v>0</v>
      </c>
    </row>
    <row r="20" spans="1:27" x14ac:dyDescent="0.3">
      <c r="A20" s="3" t="s">
        <v>31</v>
      </c>
      <c r="B20" t="s">
        <v>33</v>
      </c>
      <c r="C20">
        <v>2</v>
      </c>
      <c r="D20" t="s">
        <v>12</v>
      </c>
      <c r="E20" t="s">
        <v>145</v>
      </c>
      <c r="F20" t="s">
        <v>455</v>
      </c>
      <c r="G20" t="s">
        <v>62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31</v>
      </c>
      <c r="B21" t="s">
        <v>76</v>
      </c>
      <c r="C21">
        <v>1</v>
      </c>
      <c r="D21" t="s">
        <v>70</v>
      </c>
      <c r="E21" t="s">
        <v>141</v>
      </c>
      <c r="F21" t="s">
        <v>339</v>
      </c>
      <c r="H21">
        <v>4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31</v>
      </c>
      <c r="B22" t="s">
        <v>221</v>
      </c>
      <c r="C22">
        <v>1</v>
      </c>
      <c r="D22" t="s">
        <v>67</v>
      </c>
      <c r="E22" t="s">
        <v>149</v>
      </c>
      <c r="F22" t="s">
        <v>302</v>
      </c>
      <c r="H22">
        <v>5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34</v>
      </c>
      <c r="B23" t="s">
        <v>35</v>
      </c>
      <c r="C23">
        <v>2</v>
      </c>
      <c r="D23" t="s">
        <v>26</v>
      </c>
      <c r="E23" t="s">
        <v>142</v>
      </c>
      <c r="F23" t="s">
        <v>447</v>
      </c>
      <c r="G23" t="s">
        <v>14</v>
      </c>
      <c r="H23">
        <v>6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34</v>
      </c>
      <c r="B24" t="s">
        <v>84</v>
      </c>
      <c r="C24">
        <v>2</v>
      </c>
      <c r="D24" t="s">
        <v>70</v>
      </c>
      <c r="E24" t="s">
        <v>174</v>
      </c>
      <c r="F24" t="s">
        <v>504</v>
      </c>
      <c r="H24">
        <v>6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34</v>
      </c>
      <c r="B25" t="s">
        <v>210</v>
      </c>
      <c r="C25">
        <v>1</v>
      </c>
      <c r="D25" t="s">
        <v>207</v>
      </c>
      <c r="E25" t="s">
        <v>208</v>
      </c>
      <c r="F25" t="s">
        <v>448</v>
      </c>
      <c r="H25">
        <v>4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34</v>
      </c>
      <c r="B26" t="s">
        <v>65</v>
      </c>
      <c r="C26">
        <v>1</v>
      </c>
      <c r="D26" t="s">
        <v>178</v>
      </c>
      <c r="E26" t="s">
        <v>142</v>
      </c>
      <c r="F26" t="s">
        <v>449</v>
      </c>
      <c r="H26">
        <v>4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34</v>
      </c>
      <c r="B27" t="s">
        <v>71</v>
      </c>
      <c r="C27">
        <v>3</v>
      </c>
      <c r="D27" t="s">
        <v>67</v>
      </c>
      <c r="E27" t="s">
        <v>148</v>
      </c>
      <c r="F27" t="s">
        <v>505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37</v>
      </c>
      <c r="B28" t="s">
        <v>37</v>
      </c>
      <c r="C28" t="s">
        <v>14</v>
      </c>
      <c r="D28" t="s">
        <v>24</v>
      </c>
      <c r="E28" t="s">
        <v>173</v>
      </c>
      <c r="F28" t="s">
        <v>303</v>
      </c>
      <c r="K28">
        <v>1</v>
      </c>
      <c r="P28">
        <f t="shared" si="2"/>
        <v>0</v>
      </c>
    </row>
    <row r="29" spans="1:27" x14ac:dyDescent="0.3">
      <c r="A29" s="3" t="s">
        <v>37</v>
      </c>
      <c r="B29" t="s">
        <v>38</v>
      </c>
      <c r="C29">
        <v>3</v>
      </c>
      <c r="D29" t="s">
        <v>26</v>
      </c>
      <c r="E29" t="s">
        <v>174</v>
      </c>
      <c r="F29" t="s">
        <v>506</v>
      </c>
      <c r="G29" t="s">
        <v>14</v>
      </c>
      <c r="H29">
        <v>8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37</v>
      </c>
      <c r="B30" t="s">
        <v>39</v>
      </c>
      <c r="C30">
        <v>3</v>
      </c>
      <c r="D30" t="s">
        <v>26</v>
      </c>
      <c r="E30" t="s">
        <v>142</v>
      </c>
      <c r="F30" t="s">
        <v>372</v>
      </c>
      <c r="G30" t="s">
        <v>14</v>
      </c>
      <c r="H30">
        <v>8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37</v>
      </c>
      <c r="B31" t="s">
        <v>225</v>
      </c>
      <c r="C31">
        <v>2</v>
      </c>
      <c r="D31" t="s">
        <v>226</v>
      </c>
      <c r="E31" t="s">
        <v>227</v>
      </c>
      <c r="F31" t="s">
        <v>482</v>
      </c>
      <c r="G31" t="s">
        <v>216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40</v>
      </c>
      <c r="B32" t="s">
        <v>168</v>
      </c>
      <c r="C32" t="s">
        <v>14</v>
      </c>
      <c r="D32" t="s">
        <v>24</v>
      </c>
      <c r="E32" t="s">
        <v>173</v>
      </c>
      <c r="F32" t="s">
        <v>366</v>
      </c>
      <c r="I32">
        <v>1</v>
      </c>
      <c r="P32">
        <f t="shared" si="2"/>
        <v>0</v>
      </c>
    </row>
    <row r="33" spans="1:31" x14ac:dyDescent="0.3">
      <c r="A33" s="3" t="s">
        <v>40</v>
      </c>
      <c r="B33" t="s">
        <v>41</v>
      </c>
      <c r="C33">
        <v>3</v>
      </c>
      <c r="D33" t="s">
        <v>26</v>
      </c>
      <c r="E33" t="s">
        <v>140</v>
      </c>
      <c r="F33" t="s">
        <v>450</v>
      </c>
      <c r="H33">
        <v>8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40</v>
      </c>
      <c r="B34" t="s">
        <v>42</v>
      </c>
      <c r="C34">
        <v>1</v>
      </c>
      <c r="D34" t="s">
        <v>26</v>
      </c>
      <c r="E34" t="s">
        <v>174</v>
      </c>
      <c r="F34" t="s">
        <v>367</v>
      </c>
      <c r="G34" t="s">
        <v>14</v>
      </c>
      <c r="H34">
        <v>4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40</v>
      </c>
      <c r="B35" t="s">
        <v>43</v>
      </c>
      <c r="C35">
        <v>0</v>
      </c>
      <c r="D35" t="s">
        <v>44</v>
      </c>
      <c r="E35" t="s">
        <v>150</v>
      </c>
      <c r="F35" t="s">
        <v>368</v>
      </c>
      <c r="G35" t="s">
        <v>14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45</v>
      </c>
      <c r="B36" t="s">
        <v>77</v>
      </c>
      <c r="C36" t="s">
        <v>14</v>
      </c>
      <c r="D36" t="s">
        <v>24</v>
      </c>
      <c r="E36" t="s">
        <v>173</v>
      </c>
      <c r="F36" t="s">
        <v>304</v>
      </c>
      <c r="L36">
        <v>1</v>
      </c>
      <c r="P36">
        <f t="shared" si="2"/>
        <v>0</v>
      </c>
    </row>
    <row r="37" spans="1:31" x14ac:dyDescent="0.3">
      <c r="A37" s="3" t="s">
        <v>45</v>
      </c>
      <c r="B37" t="s">
        <v>78</v>
      </c>
      <c r="C37">
        <v>1</v>
      </c>
      <c r="D37" t="s">
        <v>70</v>
      </c>
      <c r="E37" t="s">
        <v>141</v>
      </c>
      <c r="F37" t="s">
        <v>340</v>
      </c>
      <c r="H37">
        <v>3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45</v>
      </c>
      <c r="B38" t="s">
        <v>159</v>
      </c>
      <c r="C38">
        <v>2</v>
      </c>
      <c r="D38" t="s">
        <v>12</v>
      </c>
      <c r="E38" t="s">
        <v>143</v>
      </c>
      <c r="F38" t="s">
        <v>452</v>
      </c>
      <c r="G38" t="s">
        <v>451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45</v>
      </c>
      <c r="B39" t="s">
        <v>218</v>
      </c>
      <c r="C39">
        <v>0</v>
      </c>
      <c r="D39" t="s">
        <v>219</v>
      </c>
      <c r="E39" t="s">
        <v>220</v>
      </c>
      <c r="F39" t="s">
        <v>341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46</v>
      </c>
      <c r="B40" t="s">
        <v>46</v>
      </c>
      <c r="C40" t="s">
        <v>14</v>
      </c>
      <c r="D40" t="s">
        <v>24</v>
      </c>
      <c r="E40" t="s">
        <v>173</v>
      </c>
      <c r="F40" t="s">
        <v>306</v>
      </c>
      <c r="I40">
        <v>1</v>
      </c>
      <c r="P40">
        <f t="shared" si="3"/>
        <v>0</v>
      </c>
    </row>
    <row r="41" spans="1:31" x14ac:dyDescent="0.3">
      <c r="A41" s="3" t="s">
        <v>46</v>
      </c>
      <c r="B41" t="s">
        <v>47</v>
      </c>
      <c r="C41">
        <v>1</v>
      </c>
      <c r="D41" t="s">
        <v>44</v>
      </c>
      <c r="E41" t="s">
        <v>149</v>
      </c>
      <c r="F41" t="s">
        <v>307</v>
      </c>
      <c r="G41" t="s">
        <v>14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46</v>
      </c>
      <c r="B42" t="s">
        <v>48</v>
      </c>
      <c r="C42">
        <v>3</v>
      </c>
      <c r="D42" t="s">
        <v>12</v>
      </c>
      <c r="E42" t="s">
        <v>143</v>
      </c>
      <c r="F42" t="s">
        <v>462</v>
      </c>
      <c r="G42" t="s">
        <v>446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46</v>
      </c>
      <c r="B43" t="s">
        <v>155</v>
      </c>
      <c r="C43">
        <v>2</v>
      </c>
      <c r="D43" t="s">
        <v>70</v>
      </c>
      <c r="E43" t="s">
        <v>140</v>
      </c>
      <c r="F43" t="s">
        <v>308</v>
      </c>
      <c r="H43">
        <v>6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49</v>
      </c>
      <c r="B44" t="s">
        <v>169</v>
      </c>
      <c r="C44" t="s">
        <v>14</v>
      </c>
      <c r="D44" t="s">
        <v>24</v>
      </c>
      <c r="E44" t="s">
        <v>173</v>
      </c>
      <c r="F44" t="s">
        <v>453</v>
      </c>
      <c r="K44">
        <v>1</v>
      </c>
      <c r="P44">
        <f t="shared" si="3"/>
        <v>0</v>
      </c>
    </row>
    <row r="45" spans="1:31" x14ac:dyDescent="0.3">
      <c r="A45" s="3" t="s">
        <v>49</v>
      </c>
      <c r="B45" t="s">
        <v>50</v>
      </c>
      <c r="C45">
        <v>0</v>
      </c>
      <c r="D45" t="s">
        <v>44</v>
      </c>
      <c r="E45" t="s">
        <v>150</v>
      </c>
      <c r="F45" t="s">
        <v>369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49</v>
      </c>
      <c r="B46" t="s">
        <v>51</v>
      </c>
      <c r="C46">
        <v>2</v>
      </c>
      <c r="D46" t="s">
        <v>26</v>
      </c>
      <c r="E46" t="s">
        <v>140</v>
      </c>
      <c r="F46" t="s">
        <v>370</v>
      </c>
      <c r="H46">
        <v>6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49</v>
      </c>
      <c r="B47" t="s">
        <v>138</v>
      </c>
      <c r="C47">
        <v>1</v>
      </c>
      <c r="D47" t="s">
        <v>67</v>
      </c>
      <c r="E47" t="s">
        <v>175</v>
      </c>
      <c r="F47" t="s">
        <v>139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52</v>
      </c>
      <c r="B48" t="s">
        <v>52</v>
      </c>
      <c r="C48" t="s">
        <v>14</v>
      </c>
      <c r="D48" t="s">
        <v>24</v>
      </c>
      <c r="E48" t="s">
        <v>173</v>
      </c>
      <c r="F48" t="s">
        <v>507</v>
      </c>
      <c r="J48">
        <v>1</v>
      </c>
      <c r="P48">
        <f t="shared" si="3"/>
        <v>0</v>
      </c>
    </row>
    <row r="49" spans="1:35" x14ac:dyDescent="0.3">
      <c r="A49" s="3" t="s">
        <v>52</v>
      </c>
      <c r="B49" t="s">
        <v>53</v>
      </c>
      <c r="C49">
        <v>3</v>
      </c>
      <c r="D49" t="s">
        <v>26</v>
      </c>
      <c r="E49" t="s">
        <v>140</v>
      </c>
      <c r="F49" t="s">
        <v>454</v>
      </c>
      <c r="H49">
        <v>6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52</v>
      </c>
      <c r="B50" t="s">
        <v>54</v>
      </c>
      <c r="C50">
        <v>2</v>
      </c>
      <c r="D50" t="s">
        <v>26</v>
      </c>
      <c r="E50" t="s">
        <v>141</v>
      </c>
      <c r="F50" t="s">
        <v>350</v>
      </c>
      <c r="G50" t="s">
        <v>14</v>
      </c>
      <c r="H50">
        <v>6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52</v>
      </c>
      <c r="B51" t="s">
        <v>55</v>
      </c>
      <c r="C51">
        <v>2</v>
      </c>
      <c r="D51" t="s">
        <v>12</v>
      </c>
      <c r="E51" t="s">
        <v>143</v>
      </c>
      <c r="F51" t="s">
        <v>456</v>
      </c>
      <c r="G51" t="s">
        <v>439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56</v>
      </c>
      <c r="B52" t="s">
        <v>56</v>
      </c>
      <c r="C52" t="s">
        <v>14</v>
      </c>
      <c r="D52" t="s">
        <v>24</v>
      </c>
      <c r="E52" t="s">
        <v>173</v>
      </c>
      <c r="F52" t="s">
        <v>457</v>
      </c>
      <c r="J52">
        <v>1</v>
      </c>
      <c r="P52">
        <f t="shared" si="3"/>
        <v>0</v>
      </c>
    </row>
    <row r="53" spans="1:35" x14ac:dyDescent="0.3">
      <c r="A53" s="3" t="s">
        <v>56</v>
      </c>
      <c r="B53" t="s">
        <v>57</v>
      </c>
      <c r="C53">
        <v>2</v>
      </c>
      <c r="D53" t="s">
        <v>186</v>
      </c>
      <c r="E53" t="s">
        <v>148</v>
      </c>
      <c r="F53" t="s">
        <v>342</v>
      </c>
      <c r="H53">
        <v>2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56</v>
      </c>
      <c r="B54" t="s">
        <v>58</v>
      </c>
      <c r="C54">
        <v>2</v>
      </c>
      <c r="D54" t="s">
        <v>26</v>
      </c>
      <c r="E54" t="s">
        <v>142</v>
      </c>
      <c r="F54" t="s">
        <v>310</v>
      </c>
      <c r="H54">
        <v>4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56</v>
      </c>
      <c r="B55" t="s">
        <v>66</v>
      </c>
      <c r="C55">
        <v>3</v>
      </c>
      <c r="D55" t="s">
        <v>67</v>
      </c>
      <c r="E55" t="s">
        <v>148</v>
      </c>
      <c r="F55" t="s">
        <v>68</v>
      </c>
      <c r="H55">
        <v>2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364</v>
      </c>
      <c r="B56" t="s">
        <v>364</v>
      </c>
      <c r="C56" t="s">
        <v>14</v>
      </c>
      <c r="D56" t="s">
        <v>24</v>
      </c>
      <c r="E56" t="s">
        <v>173</v>
      </c>
      <c r="F56" t="s">
        <v>311</v>
      </c>
      <c r="L56">
        <v>1</v>
      </c>
      <c r="P56">
        <f t="shared" si="3"/>
        <v>0</v>
      </c>
    </row>
    <row r="57" spans="1:35" x14ac:dyDescent="0.3">
      <c r="A57" s="3" t="s">
        <v>364</v>
      </c>
      <c r="B57" t="s">
        <v>98</v>
      </c>
      <c r="C57">
        <v>1</v>
      </c>
      <c r="D57" t="s">
        <v>67</v>
      </c>
      <c r="E57" t="s">
        <v>153</v>
      </c>
      <c r="F57" t="s">
        <v>99</v>
      </c>
      <c r="H57">
        <v>1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364</v>
      </c>
      <c r="B58" t="s">
        <v>102</v>
      </c>
      <c r="C58">
        <v>2</v>
      </c>
      <c r="D58" t="s">
        <v>82</v>
      </c>
      <c r="E58" t="s">
        <v>143</v>
      </c>
      <c r="F58" t="s">
        <v>343</v>
      </c>
      <c r="G58" t="s">
        <v>399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364</v>
      </c>
      <c r="B59" t="s">
        <v>100</v>
      </c>
      <c r="C59">
        <v>1</v>
      </c>
      <c r="D59" t="s">
        <v>70</v>
      </c>
      <c r="E59" t="s">
        <v>140</v>
      </c>
      <c r="F59" t="s">
        <v>458</v>
      </c>
      <c r="H59">
        <v>4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362</v>
      </c>
      <c r="B60" t="s">
        <v>358</v>
      </c>
      <c r="C60">
        <v>0</v>
      </c>
      <c r="D60" t="s">
        <v>44</v>
      </c>
      <c r="E60" t="s">
        <v>151</v>
      </c>
      <c r="F60" t="s">
        <v>492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362</v>
      </c>
      <c r="B61" t="s">
        <v>59</v>
      </c>
      <c r="C61">
        <v>0</v>
      </c>
      <c r="D61" t="s">
        <v>44</v>
      </c>
      <c r="E61" t="s">
        <v>151</v>
      </c>
      <c r="F61" t="s">
        <v>365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362</v>
      </c>
      <c r="B62" t="s">
        <v>60</v>
      </c>
      <c r="C62">
        <v>0</v>
      </c>
      <c r="D62" t="s">
        <v>44</v>
      </c>
      <c r="E62" t="s">
        <v>151</v>
      </c>
      <c r="F62" t="s">
        <v>224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362</v>
      </c>
      <c r="B63" t="s">
        <v>397</v>
      </c>
      <c r="C63">
        <v>0</v>
      </c>
      <c r="D63" t="s">
        <v>67</v>
      </c>
      <c r="E63" t="s">
        <v>151</v>
      </c>
      <c r="F63" t="s">
        <v>371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362</v>
      </c>
      <c r="B64" t="s">
        <v>388</v>
      </c>
      <c r="C64">
        <v>0</v>
      </c>
      <c r="D64" t="s">
        <v>222</v>
      </c>
      <c r="E64" t="s">
        <v>223</v>
      </c>
      <c r="F64" t="s">
        <v>387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362</v>
      </c>
      <c r="B65" t="s">
        <v>398</v>
      </c>
      <c r="C65">
        <v>0</v>
      </c>
      <c r="D65" t="s">
        <v>394</v>
      </c>
      <c r="E65" t="s">
        <v>395</v>
      </c>
      <c r="F65" t="s">
        <v>396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362</v>
      </c>
      <c r="B66" t="s">
        <v>61</v>
      </c>
      <c r="C66">
        <v>1</v>
      </c>
      <c r="D66" t="s">
        <v>44</v>
      </c>
      <c r="E66" t="s">
        <v>149</v>
      </c>
      <c r="F66" t="s">
        <v>301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362</v>
      </c>
      <c r="B67" t="s">
        <v>86</v>
      </c>
      <c r="C67">
        <v>3</v>
      </c>
      <c r="D67" t="s">
        <v>67</v>
      </c>
      <c r="E67" t="s">
        <v>149</v>
      </c>
      <c r="F67" t="s">
        <v>332</v>
      </c>
      <c r="H67">
        <v>9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362</v>
      </c>
      <c r="B68" t="s">
        <v>87</v>
      </c>
      <c r="C68">
        <v>3</v>
      </c>
      <c r="D68" t="s">
        <v>67</v>
      </c>
      <c r="E68" t="s">
        <v>149</v>
      </c>
      <c r="F68" t="s">
        <v>333</v>
      </c>
      <c r="H68">
        <v>9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362</v>
      </c>
      <c r="B69" t="s">
        <v>104</v>
      </c>
      <c r="C69">
        <v>1</v>
      </c>
      <c r="D69" t="s">
        <v>67</v>
      </c>
      <c r="E69" t="s">
        <v>149</v>
      </c>
      <c r="F69" t="s">
        <v>384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362</v>
      </c>
      <c r="B70" t="s">
        <v>281</v>
      </c>
      <c r="C70">
        <v>2</v>
      </c>
      <c r="D70" t="s">
        <v>276</v>
      </c>
      <c r="E70" t="s">
        <v>282</v>
      </c>
      <c r="F70" t="s">
        <v>385</v>
      </c>
      <c r="H70">
        <v>4</v>
      </c>
      <c r="I70">
        <v>1</v>
      </c>
      <c r="P70">
        <f t="shared" ref="P70:P101" si="4">SUM(Q70:AE70)</f>
        <v>1</v>
      </c>
      <c r="AA70">
        <v>1</v>
      </c>
      <c r="AH70">
        <v>1</v>
      </c>
    </row>
    <row r="71" spans="1:35" x14ac:dyDescent="0.3">
      <c r="A71" s="3" t="s">
        <v>362</v>
      </c>
      <c r="B71" t="s">
        <v>283</v>
      </c>
      <c r="C71">
        <v>3</v>
      </c>
      <c r="D71" t="s">
        <v>276</v>
      </c>
      <c r="E71" t="s">
        <v>282</v>
      </c>
      <c r="F71" t="s">
        <v>493</v>
      </c>
      <c r="H71">
        <v>16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362</v>
      </c>
      <c r="B72" t="s">
        <v>284</v>
      </c>
      <c r="C72">
        <v>2</v>
      </c>
      <c r="D72" t="s">
        <v>276</v>
      </c>
      <c r="E72" t="s">
        <v>282</v>
      </c>
      <c r="F72" t="s">
        <v>300</v>
      </c>
      <c r="H72">
        <v>13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362</v>
      </c>
      <c r="B73" t="s">
        <v>290</v>
      </c>
      <c r="C73">
        <v>2</v>
      </c>
      <c r="D73" t="s">
        <v>276</v>
      </c>
      <c r="E73" t="s">
        <v>282</v>
      </c>
      <c r="F73" t="s">
        <v>386</v>
      </c>
      <c r="H73">
        <v>12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362</v>
      </c>
      <c r="B74" t="s">
        <v>72</v>
      </c>
      <c r="C74">
        <v>1</v>
      </c>
      <c r="D74" t="s">
        <v>70</v>
      </c>
      <c r="E74" t="s">
        <v>140</v>
      </c>
      <c r="F74" t="s">
        <v>101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362</v>
      </c>
      <c r="B75" t="s">
        <v>154</v>
      </c>
      <c r="C75">
        <v>2</v>
      </c>
      <c r="D75" t="s">
        <v>70</v>
      </c>
      <c r="E75" t="s">
        <v>140</v>
      </c>
      <c r="F75" t="s">
        <v>299</v>
      </c>
      <c r="H75">
        <v>4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362</v>
      </c>
      <c r="B76" t="s">
        <v>156</v>
      </c>
      <c r="C76">
        <v>3</v>
      </c>
      <c r="D76" t="s">
        <v>70</v>
      </c>
      <c r="E76" t="s">
        <v>140</v>
      </c>
      <c r="F76" t="s">
        <v>353</v>
      </c>
      <c r="H76">
        <v>6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362</v>
      </c>
      <c r="B77" t="s">
        <v>73</v>
      </c>
      <c r="C77">
        <v>3</v>
      </c>
      <c r="D77" t="s">
        <v>67</v>
      </c>
      <c r="E77" t="s">
        <v>146</v>
      </c>
      <c r="F77" t="s">
        <v>389</v>
      </c>
      <c r="H77">
        <v>7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362</v>
      </c>
      <c r="B78" t="s">
        <v>74</v>
      </c>
      <c r="C78">
        <v>3</v>
      </c>
      <c r="D78" t="s">
        <v>67</v>
      </c>
      <c r="E78" t="s">
        <v>146</v>
      </c>
      <c r="F78" t="s">
        <v>390</v>
      </c>
      <c r="H78">
        <v>7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362</v>
      </c>
      <c r="B79" t="s">
        <v>75</v>
      </c>
      <c r="C79">
        <v>2</v>
      </c>
      <c r="D79" t="s">
        <v>67</v>
      </c>
      <c r="E79" t="s">
        <v>146</v>
      </c>
      <c r="F79" t="s">
        <v>312</v>
      </c>
      <c r="H79">
        <v>9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362</v>
      </c>
      <c r="B80" t="s">
        <v>85</v>
      </c>
      <c r="C80">
        <v>3</v>
      </c>
      <c r="D80" t="s">
        <v>67</v>
      </c>
      <c r="E80" t="s">
        <v>146</v>
      </c>
      <c r="F80" t="s">
        <v>508</v>
      </c>
      <c r="H80">
        <v>9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362</v>
      </c>
      <c r="B81" t="s">
        <v>94</v>
      </c>
      <c r="C81">
        <v>0</v>
      </c>
      <c r="D81" t="s">
        <v>67</v>
      </c>
      <c r="E81" t="s">
        <v>146</v>
      </c>
      <c r="F81" t="s">
        <v>95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362</v>
      </c>
      <c r="B82" t="s">
        <v>187</v>
      </c>
      <c r="C82">
        <v>1</v>
      </c>
      <c r="D82" t="s">
        <v>186</v>
      </c>
      <c r="E82" t="s">
        <v>188</v>
      </c>
      <c r="F82" t="s">
        <v>312</v>
      </c>
      <c r="H82">
        <v>6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362</v>
      </c>
      <c r="B83" t="s">
        <v>253</v>
      </c>
      <c r="C83">
        <v>2</v>
      </c>
      <c r="D83" t="s">
        <v>246</v>
      </c>
      <c r="E83" t="s">
        <v>247</v>
      </c>
      <c r="F83" t="s">
        <v>312</v>
      </c>
      <c r="H83">
        <v>9</v>
      </c>
      <c r="I83">
        <v>1</v>
      </c>
      <c r="P83">
        <f t="shared" si="4"/>
        <v>1</v>
      </c>
      <c r="X83">
        <v>1</v>
      </c>
    </row>
    <row r="84" spans="1:36" x14ac:dyDescent="0.3">
      <c r="A84" s="3" t="s">
        <v>362</v>
      </c>
      <c r="B84" t="s">
        <v>248</v>
      </c>
      <c r="C84">
        <v>2</v>
      </c>
      <c r="D84" t="s">
        <v>246</v>
      </c>
      <c r="E84" t="s">
        <v>247</v>
      </c>
      <c r="F84" t="s">
        <v>391</v>
      </c>
      <c r="H84">
        <v>4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362</v>
      </c>
      <c r="B85" t="s">
        <v>249</v>
      </c>
      <c r="C85">
        <v>3</v>
      </c>
      <c r="D85" t="s">
        <v>246</v>
      </c>
      <c r="E85" t="s">
        <v>247</v>
      </c>
      <c r="F85" t="s">
        <v>509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362</v>
      </c>
      <c r="B86" t="s">
        <v>250</v>
      </c>
      <c r="C86">
        <v>2</v>
      </c>
      <c r="D86" t="s">
        <v>246</v>
      </c>
      <c r="E86" t="s">
        <v>247</v>
      </c>
      <c r="F86" t="s">
        <v>393</v>
      </c>
      <c r="H86">
        <v>6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362</v>
      </c>
      <c r="B87" t="s">
        <v>234</v>
      </c>
      <c r="C87">
        <v>1</v>
      </c>
      <c r="D87" t="s">
        <v>230</v>
      </c>
      <c r="E87" t="s">
        <v>235</v>
      </c>
      <c r="F87" t="s">
        <v>463</v>
      </c>
      <c r="G87" t="s">
        <v>83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362</v>
      </c>
      <c r="B88" t="s">
        <v>236</v>
      </c>
      <c r="C88">
        <v>2</v>
      </c>
      <c r="D88" t="s">
        <v>82</v>
      </c>
      <c r="E88" t="s">
        <v>144</v>
      </c>
      <c r="F88" t="s">
        <v>392</v>
      </c>
      <c r="G88" t="s">
        <v>399</v>
      </c>
      <c r="H88">
        <v>-9</v>
      </c>
      <c r="I88">
        <v>1</v>
      </c>
      <c r="P88">
        <f t="shared" si="4"/>
        <v>1</v>
      </c>
      <c r="V88">
        <v>1</v>
      </c>
    </row>
    <row r="89" spans="1:36" x14ac:dyDescent="0.3">
      <c r="A89" s="3" t="s">
        <v>362</v>
      </c>
      <c r="B89" t="s">
        <v>137</v>
      </c>
      <c r="C89">
        <v>1</v>
      </c>
      <c r="D89" t="s">
        <v>82</v>
      </c>
      <c r="E89" t="s">
        <v>144</v>
      </c>
      <c r="F89" t="s">
        <v>466</v>
      </c>
      <c r="G89" t="s">
        <v>401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362</v>
      </c>
      <c r="B90" t="s">
        <v>163</v>
      </c>
      <c r="C90">
        <v>3</v>
      </c>
      <c r="D90" t="s">
        <v>12</v>
      </c>
      <c r="E90" t="s">
        <v>144</v>
      </c>
      <c r="F90" t="s">
        <v>467</v>
      </c>
      <c r="G90" t="s">
        <v>422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362</v>
      </c>
      <c r="B91" t="s">
        <v>164</v>
      </c>
      <c r="C91">
        <v>3</v>
      </c>
      <c r="D91" t="s">
        <v>12</v>
      </c>
      <c r="E91" t="s">
        <v>144</v>
      </c>
      <c r="F91" t="s">
        <v>400</v>
      </c>
      <c r="G91" t="s">
        <v>468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362</v>
      </c>
      <c r="B92" t="s">
        <v>344</v>
      </c>
      <c r="C92">
        <v>1</v>
      </c>
      <c r="D92" t="s">
        <v>226</v>
      </c>
      <c r="E92" t="s">
        <v>228</v>
      </c>
      <c r="F92" t="s">
        <v>469</v>
      </c>
      <c r="G92" t="s">
        <v>62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362</v>
      </c>
      <c r="B93" t="s">
        <v>237</v>
      </c>
      <c r="C93">
        <v>3</v>
      </c>
      <c r="D93" t="s">
        <v>230</v>
      </c>
      <c r="E93" t="s">
        <v>235</v>
      </c>
      <c r="F93" t="s">
        <v>503</v>
      </c>
      <c r="G93" t="s">
        <v>468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362</v>
      </c>
      <c r="B94" t="s">
        <v>239</v>
      </c>
      <c r="C94">
        <v>2</v>
      </c>
      <c r="D94" t="s">
        <v>230</v>
      </c>
      <c r="E94" t="s">
        <v>235</v>
      </c>
      <c r="F94" t="s">
        <v>402</v>
      </c>
      <c r="G94" t="s">
        <v>240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362</v>
      </c>
      <c r="B95" t="s">
        <v>90</v>
      </c>
      <c r="C95">
        <v>0</v>
      </c>
      <c r="D95" t="s">
        <v>67</v>
      </c>
      <c r="E95" t="s">
        <v>175</v>
      </c>
      <c r="F95" t="s">
        <v>403</v>
      </c>
      <c r="H95">
        <v>2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362</v>
      </c>
      <c r="B96" t="s">
        <v>91</v>
      </c>
      <c r="C96">
        <v>0</v>
      </c>
      <c r="D96" t="s">
        <v>67</v>
      </c>
      <c r="E96" t="s">
        <v>175</v>
      </c>
      <c r="F96" t="s">
        <v>404</v>
      </c>
      <c r="H96">
        <v>0</v>
      </c>
      <c r="K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362</v>
      </c>
      <c r="B97" t="s">
        <v>93</v>
      </c>
      <c r="C97">
        <v>2</v>
      </c>
      <c r="D97" t="s">
        <v>67</v>
      </c>
      <c r="E97" t="s">
        <v>175</v>
      </c>
      <c r="F97" t="s">
        <v>472</v>
      </c>
      <c r="H97">
        <v>1</v>
      </c>
      <c r="K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362</v>
      </c>
      <c r="B98" t="s">
        <v>103</v>
      </c>
      <c r="C98">
        <v>0</v>
      </c>
      <c r="D98" t="s">
        <v>67</v>
      </c>
      <c r="E98" t="s">
        <v>175</v>
      </c>
      <c r="F98" t="s">
        <v>471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362</v>
      </c>
      <c r="B99" t="s">
        <v>329</v>
      </c>
      <c r="C99">
        <v>1</v>
      </c>
      <c r="D99" t="s">
        <v>330</v>
      </c>
      <c r="E99" t="s">
        <v>328</v>
      </c>
      <c r="F99" t="s">
        <v>331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362</v>
      </c>
      <c r="B100" t="s">
        <v>409</v>
      </c>
      <c r="C100">
        <v>0</v>
      </c>
      <c r="D100" t="s">
        <v>291</v>
      </c>
      <c r="E100" t="s">
        <v>295</v>
      </c>
      <c r="F100" t="s">
        <v>410</v>
      </c>
      <c r="H100">
        <v>1</v>
      </c>
      <c r="K100">
        <v>1</v>
      </c>
      <c r="P100">
        <f t="shared" si="4"/>
        <v>1</v>
      </c>
      <c r="AE100">
        <v>1</v>
      </c>
    </row>
    <row r="101" spans="1:36" x14ac:dyDescent="0.3">
      <c r="A101" s="3" t="s">
        <v>362</v>
      </c>
      <c r="B101" t="s">
        <v>407</v>
      </c>
      <c r="C101">
        <v>0</v>
      </c>
      <c r="D101" t="s">
        <v>394</v>
      </c>
      <c r="E101" t="s">
        <v>408</v>
      </c>
      <c r="F101" t="s">
        <v>473</v>
      </c>
      <c r="K101">
        <v>1</v>
      </c>
      <c r="O101">
        <v>1</v>
      </c>
      <c r="P101">
        <v>1</v>
      </c>
    </row>
    <row r="102" spans="1:36" x14ac:dyDescent="0.3">
      <c r="A102" s="3" t="s">
        <v>362</v>
      </c>
      <c r="B102" t="s">
        <v>278</v>
      </c>
      <c r="C102">
        <v>0</v>
      </c>
      <c r="D102" t="s">
        <v>276</v>
      </c>
      <c r="E102" t="s">
        <v>277</v>
      </c>
      <c r="F102" t="s">
        <v>474</v>
      </c>
      <c r="H102">
        <v>2</v>
      </c>
      <c r="K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362</v>
      </c>
      <c r="B103" t="s">
        <v>279</v>
      </c>
      <c r="C103">
        <v>0</v>
      </c>
      <c r="D103" t="s">
        <v>276</v>
      </c>
      <c r="E103" t="s">
        <v>277</v>
      </c>
      <c r="F103" t="s">
        <v>280</v>
      </c>
      <c r="H103">
        <v>1</v>
      </c>
      <c r="K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362</v>
      </c>
      <c r="B104" t="s">
        <v>97</v>
      </c>
      <c r="C104">
        <v>0</v>
      </c>
      <c r="D104" t="s">
        <v>67</v>
      </c>
      <c r="E104" t="s">
        <v>150</v>
      </c>
      <c r="F104" t="s">
        <v>405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362</v>
      </c>
      <c r="B105" t="s">
        <v>165</v>
      </c>
      <c r="C105">
        <v>0</v>
      </c>
      <c r="D105" t="s">
        <v>44</v>
      </c>
      <c r="E105" t="s">
        <v>150</v>
      </c>
      <c r="F105" t="s">
        <v>406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362</v>
      </c>
      <c r="B106" t="s">
        <v>166</v>
      </c>
      <c r="C106">
        <v>1</v>
      </c>
      <c r="D106" t="s">
        <v>411</v>
      </c>
      <c r="E106" t="s">
        <v>142</v>
      </c>
      <c r="F106" t="s">
        <v>475</v>
      </c>
      <c r="H106">
        <v>4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362</v>
      </c>
      <c r="B107" t="s">
        <v>157</v>
      </c>
      <c r="C107">
        <v>2</v>
      </c>
      <c r="D107" t="s">
        <v>67</v>
      </c>
      <c r="E107" t="s">
        <v>147</v>
      </c>
      <c r="F107" t="s">
        <v>420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362</v>
      </c>
      <c r="B108" t="s">
        <v>158</v>
      </c>
      <c r="C108">
        <v>2</v>
      </c>
      <c r="D108" t="s">
        <v>67</v>
      </c>
      <c r="E108" t="s">
        <v>147</v>
      </c>
      <c r="F108" t="s">
        <v>470</v>
      </c>
      <c r="H108">
        <v>6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362</v>
      </c>
      <c r="B109" t="s">
        <v>258</v>
      </c>
      <c r="C109">
        <v>2</v>
      </c>
      <c r="D109" t="s">
        <v>246</v>
      </c>
      <c r="E109" t="s">
        <v>257</v>
      </c>
      <c r="F109" t="s">
        <v>412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362</v>
      </c>
      <c r="B110" t="s">
        <v>259</v>
      </c>
      <c r="C110">
        <v>3</v>
      </c>
      <c r="D110" t="s">
        <v>246</v>
      </c>
      <c r="E110" t="s">
        <v>257</v>
      </c>
      <c r="F110" t="s">
        <v>413</v>
      </c>
      <c r="H110">
        <v>6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362</v>
      </c>
      <c r="B111" t="s">
        <v>256</v>
      </c>
      <c r="C111">
        <v>0</v>
      </c>
      <c r="D111" t="s">
        <v>186</v>
      </c>
      <c r="E111" t="s">
        <v>184</v>
      </c>
      <c r="F111" t="s">
        <v>476</v>
      </c>
      <c r="H111">
        <v>7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362</v>
      </c>
      <c r="B112" t="s">
        <v>177</v>
      </c>
      <c r="C112">
        <v>0</v>
      </c>
      <c r="D112" t="s">
        <v>178</v>
      </c>
      <c r="E112" t="s">
        <v>179</v>
      </c>
      <c r="F112" t="s">
        <v>305</v>
      </c>
      <c r="H112">
        <v>3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362</v>
      </c>
      <c r="B113" t="s">
        <v>317</v>
      </c>
      <c r="C113">
        <v>1</v>
      </c>
      <c r="D113" t="s">
        <v>178</v>
      </c>
      <c r="E113" t="s">
        <v>179</v>
      </c>
      <c r="F113" t="s">
        <v>180</v>
      </c>
      <c r="H113">
        <v>3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362</v>
      </c>
      <c r="B114" t="s">
        <v>182</v>
      </c>
      <c r="C114">
        <v>0</v>
      </c>
      <c r="D114" t="s">
        <v>178</v>
      </c>
      <c r="E114" t="s">
        <v>179</v>
      </c>
      <c r="F114" t="s">
        <v>351</v>
      </c>
      <c r="H114">
        <v>2</v>
      </c>
      <c r="L114">
        <v>1</v>
      </c>
      <c r="P114">
        <f t="shared" si="5"/>
        <v>1</v>
      </c>
      <c r="R114">
        <v>1</v>
      </c>
    </row>
    <row r="115" spans="1:36" x14ac:dyDescent="0.3">
      <c r="A115" s="3" t="s">
        <v>362</v>
      </c>
      <c r="B115" t="s">
        <v>183</v>
      </c>
      <c r="C115">
        <v>0</v>
      </c>
      <c r="D115" t="s">
        <v>178</v>
      </c>
      <c r="E115" t="s">
        <v>179</v>
      </c>
      <c r="F115" t="s">
        <v>414</v>
      </c>
      <c r="H115">
        <v>2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362</v>
      </c>
      <c r="B116" t="s">
        <v>263</v>
      </c>
      <c r="C116">
        <v>1</v>
      </c>
      <c r="D116" t="s">
        <v>178</v>
      </c>
      <c r="E116" t="s">
        <v>185</v>
      </c>
      <c r="F116" t="s">
        <v>415</v>
      </c>
      <c r="H116">
        <v>2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362</v>
      </c>
      <c r="B117" t="s">
        <v>189</v>
      </c>
      <c r="C117">
        <v>1</v>
      </c>
      <c r="D117" t="s">
        <v>178</v>
      </c>
      <c r="E117" t="s">
        <v>185</v>
      </c>
      <c r="F117" t="s">
        <v>419</v>
      </c>
      <c r="H117">
        <v>2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362</v>
      </c>
      <c r="B118" t="s">
        <v>262</v>
      </c>
      <c r="C118">
        <v>0</v>
      </c>
      <c r="D118" t="s">
        <v>178</v>
      </c>
      <c r="E118" t="s">
        <v>142</v>
      </c>
      <c r="F118" t="s">
        <v>418</v>
      </c>
      <c r="H118">
        <v>2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362</v>
      </c>
      <c r="B119" t="s">
        <v>209</v>
      </c>
      <c r="C119">
        <v>1</v>
      </c>
      <c r="D119" t="s">
        <v>207</v>
      </c>
      <c r="E119" t="s">
        <v>208</v>
      </c>
      <c r="F119" t="s">
        <v>416</v>
      </c>
      <c r="H119">
        <v>3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362</v>
      </c>
      <c r="B120" t="s">
        <v>212</v>
      </c>
      <c r="C120">
        <v>1</v>
      </c>
      <c r="D120" t="s">
        <v>213</v>
      </c>
      <c r="E120" t="s">
        <v>214</v>
      </c>
      <c r="F120" t="s">
        <v>345</v>
      </c>
      <c r="G120" t="s">
        <v>477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362</v>
      </c>
      <c r="B121" t="s">
        <v>215</v>
      </c>
      <c r="C121">
        <v>1</v>
      </c>
      <c r="D121" t="s">
        <v>213</v>
      </c>
      <c r="E121" t="s">
        <v>214</v>
      </c>
      <c r="F121" t="s">
        <v>510</v>
      </c>
      <c r="G121" t="s">
        <v>62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362</v>
      </c>
      <c r="B122" t="s">
        <v>423</v>
      </c>
      <c r="C122">
        <v>3</v>
      </c>
      <c r="D122" t="s">
        <v>12</v>
      </c>
      <c r="E122" t="s">
        <v>143</v>
      </c>
      <c r="F122" t="s">
        <v>421</v>
      </c>
      <c r="G122" t="s">
        <v>422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362</v>
      </c>
      <c r="B123" t="s">
        <v>217</v>
      </c>
      <c r="C123">
        <v>2</v>
      </c>
      <c r="D123" t="s">
        <v>213</v>
      </c>
      <c r="E123" t="s">
        <v>214</v>
      </c>
      <c r="F123" t="s">
        <v>478</v>
      </c>
      <c r="G123" t="s">
        <v>216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362</v>
      </c>
      <c r="B124" t="s">
        <v>479</v>
      </c>
      <c r="C124">
        <v>3</v>
      </c>
      <c r="D124" t="s">
        <v>12</v>
      </c>
      <c r="E124" t="s">
        <v>143</v>
      </c>
      <c r="F124" t="s">
        <v>489</v>
      </c>
      <c r="G124" t="s">
        <v>446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362</v>
      </c>
      <c r="B125" t="s">
        <v>229</v>
      </c>
      <c r="C125">
        <v>1</v>
      </c>
      <c r="D125" t="s">
        <v>230</v>
      </c>
      <c r="E125" t="s">
        <v>231</v>
      </c>
      <c r="F125" t="s">
        <v>480</v>
      </c>
      <c r="G125" t="s">
        <v>62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481</v>
      </c>
      <c r="B126" t="s">
        <v>88</v>
      </c>
      <c r="C126">
        <v>2</v>
      </c>
      <c r="D126" t="s">
        <v>82</v>
      </c>
      <c r="E126" t="s">
        <v>145</v>
      </c>
      <c r="F126" t="s">
        <v>511</v>
      </c>
      <c r="G126" t="s">
        <v>216</v>
      </c>
      <c r="H126">
        <v>-9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362</v>
      </c>
      <c r="B127" t="s">
        <v>349</v>
      </c>
      <c r="C127">
        <v>2</v>
      </c>
      <c r="D127" t="s">
        <v>230</v>
      </c>
      <c r="E127" t="s">
        <v>241</v>
      </c>
      <c r="F127" t="s">
        <v>483</v>
      </c>
      <c r="G127" t="s">
        <v>216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362</v>
      </c>
      <c r="B128" t="s">
        <v>242</v>
      </c>
      <c r="C128">
        <v>2</v>
      </c>
      <c r="D128" t="s">
        <v>230</v>
      </c>
      <c r="E128" t="s">
        <v>241</v>
      </c>
      <c r="F128" t="s">
        <v>484</v>
      </c>
      <c r="G128" t="s">
        <v>238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362</v>
      </c>
      <c r="B129" t="s">
        <v>487</v>
      </c>
      <c r="C129">
        <v>2</v>
      </c>
      <c r="D129" t="s">
        <v>441</v>
      </c>
      <c r="E129" t="s">
        <v>145</v>
      </c>
      <c r="F129" t="s">
        <v>488</v>
      </c>
      <c r="G129" t="s">
        <v>451</v>
      </c>
      <c r="H129">
        <v>-9</v>
      </c>
      <c r="L129">
        <v>1</v>
      </c>
      <c r="W129">
        <v>1</v>
      </c>
    </row>
    <row r="130" spans="1:34" x14ac:dyDescent="0.3">
      <c r="A130" s="3" t="s">
        <v>362</v>
      </c>
      <c r="B130" t="s">
        <v>479</v>
      </c>
      <c r="C130">
        <v>3</v>
      </c>
      <c r="D130" t="s">
        <v>12</v>
      </c>
      <c r="E130" t="s">
        <v>143</v>
      </c>
      <c r="F130" t="s">
        <v>489</v>
      </c>
      <c r="G130" t="s">
        <v>490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362</v>
      </c>
      <c r="B131" t="s">
        <v>245</v>
      </c>
      <c r="C131">
        <v>2</v>
      </c>
      <c r="D131" t="s">
        <v>230</v>
      </c>
      <c r="E131" t="s">
        <v>241</v>
      </c>
      <c r="F131" t="s">
        <v>485</v>
      </c>
      <c r="G131" t="s">
        <v>216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362</v>
      </c>
      <c r="B132" t="s">
        <v>81</v>
      </c>
      <c r="C132">
        <v>2</v>
      </c>
      <c r="D132" t="s">
        <v>82</v>
      </c>
      <c r="E132" t="s">
        <v>145</v>
      </c>
      <c r="F132" t="s">
        <v>486</v>
      </c>
      <c r="G132" t="s">
        <v>238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362</v>
      </c>
      <c r="B133" t="s">
        <v>167</v>
      </c>
      <c r="C133">
        <v>0</v>
      </c>
      <c r="D133" t="s">
        <v>44</v>
      </c>
      <c r="E133" t="s">
        <v>148</v>
      </c>
      <c r="F133" t="s">
        <v>315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362</v>
      </c>
      <c r="B134" t="s">
        <v>429</v>
      </c>
      <c r="C134">
        <v>3</v>
      </c>
      <c r="D134" t="s">
        <v>246</v>
      </c>
      <c r="E134" t="s">
        <v>251</v>
      </c>
      <c r="F134" t="s">
        <v>252</v>
      </c>
      <c r="H134">
        <v>1</v>
      </c>
      <c r="J134">
        <v>1</v>
      </c>
      <c r="P134">
        <f t="shared" si="6"/>
        <v>1</v>
      </c>
      <c r="Z134">
        <v>1</v>
      </c>
    </row>
    <row r="135" spans="1:34" x14ac:dyDescent="0.3">
      <c r="A135" s="3" t="s">
        <v>362</v>
      </c>
      <c r="B135" t="s">
        <v>254</v>
      </c>
      <c r="C135">
        <v>3</v>
      </c>
      <c r="D135" t="s">
        <v>246</v>
      </c>
      <c r="E135" t="s">
        <v>251</v>
      </c>
      <c r="F135" t="s">
        <v>255</v>
      </c>
      <c r="H135">
        <v>1</v>
      </c>
      <c r="J135">
        <v>1</v>
      </c>
      <c r="P135">
        <f t="shared" si="6"/>
        <v>1</v>
      </c>
      <c r="Z135">
        <v>1</v>
      </c>
    </row>
    <row r="136" spans="1:34" x14ac:dyDescent="0.3">
      <c r="A136" s="3" t="s">
        <v>362</v>
      </c>
      <c r="B136" t="s">
        <v>260</v>
      </c>
      <c r="C136">
        <v>0</v>
      </c>
      <c r="D136" t="s">
        <v>246</v>
      </c>
      <c r="E136" t="s">
        <v>251</v>
      </c>
      <c r="F136" t="s">
        <v>261</v>
      </c>
      <c r="H136">
        <v>13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362</v>
      </c>
      <c r="B137" t="s">
        <v>264</v>
      </c>
      <c r="C137">
        <v>0</v>
      </c>
      <c r="D137" t="s">
        <v>246</v>
      </c>
      <c r="E137" t="s">
        <v>251</v>
      </c>
      <c r="F137" t="s">
        <v>425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362</v>
      </c>
      <c r="B138" t="s">
        <v>265</v>
      </c>
      <c r="C138">
        <v>0</v>
      </c>
      <c r="D138" t="s">
        <v>246</v>
      </c>
      <c r="E138" t="s">
        <v>251</v>
      </c>
      <c r="F138" t="s">
        <v>319</v>
      </c>
      <c r="H138">
        <v>11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362</v>
      </c>
      <c r="B139" t="s">
        <v>266</v>
      </c>
      <c r="C139">
        <v>0</v>
      </c>
      <c r="D139" t="s">
        <v>246</v>
      </c>
      <c r="E139" t="s">
        <v>251</v>
      </c>
      <c r="F139" t="s">
        <v>267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362</v>
      </c>
      <c r="B140" t="s">
        <v>268</v>
      </c>
      <c r="C140">
        <v>1</v>
      </c>
      <c r="D140" t="s">
        <v>246</v>
      </c>
      <c r="E140" t="s">
        <v>251</v>
      </c>
      <c r="F140" t="s">
        <v>269</v>
      </c>
      <c r="H140">
        <v>12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362</v>
      </c>
      <c r="B141" t="s">
        <v>270</v>
      </c>
      <c r="C141">
        <v>0</v>
      </c>
      <c r="D141" t="s">
        <v>246</v>
      </c>
      <c r="E141" t="s">
        <v>251</v>
      </c>
      <c r="F141" t="s">
        <v>430</v>
      </c>
      <c r="H141">
        <v>9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362</v>
      </c>
      <c r="B142" t="s">
        <v>271</v>
      </c>
      <c r="C142">
        <v>1</v>
      </c>
      <c r="D142" t="s">
        <v>246</v>
      </c>
      <c r="E142" t="s">
        <v>251</v>
      </c>
      <c r="F142" t="s">
        <v>428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362</v>
      </c>
      <c r="B143" t="s">
        <v>272</v>
      </c>
      <c r="C143">
        <v>0</v>
      </c>
      <c r="D143" t="s">
        <v>246</v>
      </c>
      <c r="E143" t="s">
        <v>251</v>
      </c>
      <c r="F143" t="s">
        <v>337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362</v>
      </c>
      <c r="B144" t="s">
        <v>285</v>
      </c>
      <c r="C144">
        <v>0</v>
      </c>
      <c r="D144" t="s">
        <v>276</v>
      </c>
      <c r="E144" t="s">
        <v>286</v>
      </c>
      <c r="F144" t="s">
        <v>336</v>
      </c>
      <c r="H144">
        <v>2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362</v>
      </c>
      <c r="B145" t="s">
        <v>275</v>
      </c>
      <c r="C145">
        <v>2</v>
      </c>
      <c r="D145" t="s">
        <v>276</v>
      </c>
      <c r="E145" t="s">
        <v>286</v>
      </c>
      <c r="F145" t="s">
        <v>424</v>
      </c>
      <c r="H145">
        <v>1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362</v>
      </c>
      <c r="B146" t="s">
        <v>287</v>
      </c>
      <c r="C146">
        <v>0</v>
      </c>
      <c r="D146" t="s">
        <v>276</v>
      </c>
      <c r="E146" t="s">
        <v>286</v>
      </c>
      <c r="F146" t="s">
        <v>288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362</v>
      </c>
      <c r="B147" t="s">
        <v>289</v>
      </c>
      <c r="C147">
        <v>0</v>
      </c>
      <c r="D147" t="s">
        <v>276</v>
      </c>
      <c r="E147" t="s">
        <v>286</v>
      </c>
      <c r="F147" t="s">
        <v>502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363</v>
      </c>
      <c r="B148" t="s">
        <v>293</v>
      </c>
      <c r="C148">
        <v>0</v>
      </c>
      <c r="D148" t="s">
        <v>291</v>
      </c>
      <c r="E148" t="s">
        <v>292</v>
      </c>
      <c r="F148" t="s">
        <v>334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363</v>
      </c>
      <c r="B149" t="s">
        <v>327</v>
      </c>
      <c r="C149">
        <v>3</v>
      </c>
      <c r="D149" t="s">
        <v>291</v>
      </c>
      <c r="E149" t="s">
        <v>292</v>
      </c>
      <c r="F149" t="s">
        <v>361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363</v>
      </c>
      <c r="B150" t="s">
        <v>298</v>
      </c>
      <c r="C150">
        <v>2</v>
      </c>
      <c r="D150" t="s">
        <v>291</v>
      </c>
      <c r="E150" t="s">
        <v>292</v>
      </c>
      <c r="F150" t="s">
        <v>316</v>
      </c>
      <c r="H150">
        <v>0</v>
      </c>
      <c r="J150">
        <v>1</v>
      </c>
      <c r="P150">
        <f>SUM(Q150:AF150)</f>
        <v>1</v>
      </c>
      <c r="AF150">
        <v>1</v>
      </c>
    </row>
    <row r="151" spans="1:36" x14ac:dyDescent="0.3">
      <c r="A151" s="4" t="s">
        <v>363</v>
      </c>
      <c r="B151" t="s">
        <v>294</v>
      </c>
      <c r="C151">
        <v>0</v>
      </c>
      <c r="D151" t="s">
        <v>291</v>
      </c>
      <c r="E151" t="s">
        <v>292</v>
      </c>
      <c r="F151" t="s">
        <v>335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363</v>
      </c>
      <c r="B152" t="s">
        <v>417</v>
      </c>
      <c r="C152">
        <v>3</v>
      </c>
      <c r="D152" t="s">
        <v>394</v>
      </c>
      <c r="E152" t="s">
        <v>363</v>
      </c>
      <c r="F152" t="s">
        <v>427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7"/>
  <sheetViews>
    <sheetView zoomScale="125" zoomScaleNormal="125" workbookViewId="0">
      <selection activeCell="M15" sqref="M15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170</v>
      </c>
      <c r="F1" t="s">
        <v>232</v>
      </c>
      <c r="G1" t="s">
        <v>4</v>
      </c>
      <c r="H1" t="s">
        <v>5</v>
      </c>
      <c r="I1" t="s">
        <v>6</v>
      </c>
      <c r="J1" t="s">
        <v>7</v>
      </c>
      <c r="K1" t="s">
        <v>176</v>
      </c>
      <c r="L1" t="s">
        <v>8</v>
      </c>
      <c r="M1" t="s">
        <v>79</v>
      </c>
      <c r="N1" t="s">
        <v>80</v>
      </c>
      <c r="O1" t="s">
        <v>92</v>
      </c>
      <c r="P1" t="s">
        <v>181</v>
      </c>
      <c r="Q1" t="s">
        <v>140</v>
      </c>
      <c r="R1" t="s">
        <v>141</v>
      </c>
      <c r="S1" t="s">
        <v>142</v>
      </c>
      <c r="T1" t="s">
        <v>174</v>
      </c>
      <c r="U1" t="s">
        <v>143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149</v>
      </c>
      <c r="AB1" t="s">
        <v>150</v>
      </c>
      <c r="AC1" t="s">
        <v>153</v>
      </c>
      <c r="AD1" t="s">
        <v>151</v>
      </c>
      <c r="AE1" t="s">
        <v>175</v>
      </c>
      <c r="AF1" t="s">
        <v>292</v>
      </c>
      <c r="AG1" t="s">
        <v>152</v>
      </c>
      <c r="AH1" t="s">
        <v>160</v>
      </c>
      <c r="AI1" t="s">
        <v>161</v>
      </c>
      <c r="AJ1" t="s">
        <v>162</v>
      </c>
    </row>
    <row r="2" spans="1:36" x14ac:dyDescent="0.3">
      <c r="B2" t="s">
        <v>205</v>
      </c>
      <c r="C2">
        <v>0</v>
      </c>
      <c r="D2" t="s">
        <v>67</v>
      </c>
      <c r="E2" t="s">
        <v>175</v>
      </c>
      <c r="F2" t="s">
        <v>206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205</v>
      </c>
      <c r="C3">
        <v>0</v>
      </c>
      <c r="D3" t="s">
        <v>67</v>
      </c>
      <c r="E3" t="s">
        <v>175</v>
      </c>
      <c r="F3" t="s">
        <v>206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243</v>
      </c>
      <c r="C4">
        <v>2</v>
      </c>
      <c r="D4" t="s">
        <v>82</v>
      </c>
      <c r="E4" t="s">
        <v>145</v>
      </c>
      <c r="F4" t="s">
        <v>318</v>
      </c>
      <c r="G4" t="s">
        <v>83</v>
      </c>
      <c r="H4">
        <v>-9</v>
      </c>
      <c r="L4">
        <v>1</v>
      </c>
      <c r="P4">
        <f t="shared" ref="P4" si="0">SUM(Q4:AE4)</f>
        <v>1</v>
      </c>
      <c r="W4">
        <v>1</v>
      </c>
      <c r="AH4">
        <v>1</v>
      </c>
    </row>
    <row r="5" spans="1:36" x14ac:dyDescent="0.3">
      <c r="B5" t="s">
        <v>297</v>
      </c>
      <c r="C5">
        <v>2</v>
      </c>
      <c r="D5" t="s">
        <v>291</v>
      </c>
      <c r="E5" t="s">
        <v>292</v>
      </c>
      <c r="F5" t="s">
        <v>326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362</v>
      </c>
      <c r="B6" t="s">
        <v>234</v>
      </c>
      <c r="C6">
        <v>1</v>
      </c>
      <c r="D6" t="s">
        <v>82</v>
      </c>
      <c r="E6" t="s">
        <v>144</v>
      </c>
      <c r="F6" t="s">
        <v>347</v>
      </c>
      <c r="G6" t="s">
        <v>64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362</v>
      </c>
      <c r="B7" t="s">
        <v>273</v>
      </c>
      <c r="C7">
        <v>0</v>
      </c>
      <c r="D7" t="s">
        <v>246</v>
      </c>
      <c r="E7" t="s">
        <v>274</v>
      </c>
      <c r="F7" t="s">
        <v>314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362</v>
      </c>
      <c r="B8" t="s">
        <v>296</v>
      </c>
      <c r="C8">
        <v>0</v>
      </c>
      <c r="D8" t="s">
        <v>67</v>
      </c>
      <c r="E8" t="s">
        <v>175</v>
      </c>
      <c r="F8" t="s">
        <v>313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362</v>
      </c>
      <c r="B9" t="s">
        <v>262</v>
      </c>
      <c r="C9">
        <v>1</v>
      </c>
      <c r="D9" t="s">
        <v>70</v>
      </c>
      <c r="E9" t="s">
        <v>174</v>
      </c>
      <c r="F9" t="s">
        <v>352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34</v>
      </c>
      <c r="B10" t="s">
        <v>210</v>
      </c>
      <c r="C10">
        <v>2</v>
      </c>
      <c r="D10" t="s">
        <v>70</v>
      </c>
      <c r="E10" t="s">
        <v>142</v>
      </c>
      <c r="F10" t="s">
        <v>211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122</v>
      </c>
      <c r="B12" s="2" t="s">
        <v>134</v>
      </c>
      <c r="C12" t="s">
        <v>123</v>
      </c>
      <c r="D12" t="s">
        <v>124</v>
      </c>
    </row>
    <row r="13" spans="1:36" x14ac:dyDescent="0.3">
      <c r="A13" t="s">
        <v>113</v>
      </c>
      <c r="B13" s="2" t="s">
        <v>320</v>
      </c>
      <c r="C13" t="s">
        <v>324</v>
      </c>
      <c r="D13" t="s">
        <v>325</v>
      </c>
    </row>
    <row r="15" spans="1:36" x14ac:dyDescent="0.3">
      <c r="A15" s="3" t="s">
        <v>362</v>
      </c>
      <c r="B15" t="s">
        <v>233</v>
      </c>
      <c r="C15">
        <v>2</v>
      </c>
      <c r="D15" t="s">
        <v>230</v>
      </c>
      <c r="E15" t="s">
        <v>231</v>
      </c>
      <c r="F15" t="s">
        <v>346</v>
      </c>
      <c r="G15" t="s">
        <v>62</v>
      </c>
      <c r="H15">
        <v>-9</v>
      </c>
      <c r="J15">
        <v>1</v>
      </c>
      <c r="P15">
        <f>SUM(Q15:AE15)</f>
        <v>1</v>
      </c>
      <c r="U15">
        <v>1</v>
      </c>
    </row>
    <row r="16" spans="1:36" x14ac:dyDescent="0.3">
      <c r="A16" s="3" t="s">
        <v>362</v>
      </c>
      <c r="B16" t="s">
        <v>55</v>
      </c>
      <c r="C16">
        <v>2</v>
      </c>
      <c r="D16" t="s">
        <v>12</v>
      </c>
      <c r="E16" t="s">
        <v>145</v>
      </c>
      <c r="F16" t="s">
        <v>309</v>
      </c>
      <c r="G16" t="s">
        <v>21</v>
      </c>
      <c r="H16">
        <v>-9</v>
      </c>
      <c r="J16">
        <v>1</v>
      </c>
      <c r="M16">
        <v>1</v>
      </c>
      <c r="O16">
        <v>1</v>
      </c>
      <c r="P16">
        <f>SUM(Q16:AE16)</f>
        <v>1</v>
      </c>
      <c r="U16">
        <v>1</v>
      </c>
    </row>
    <row r="17" spans="1:34" x14ac:dyDescent="0.3">
      <c r="A17" s="3" t="s">
        <v>362</v>
      </c>
      <c r="B17" t="s">
        <v>244</v>
      </c>
      <c r="C17">
        <v>3</v>
      </c>
      <c r="D17" t="s">
        <v>230</v>
      </c>
      <c r="E17" t="s">
        <v>241</v>
      </c>
      <c r="F17" t="s">
        <v>426</v>
      </c>
      <c r="G17" t="s">
        <v>216</v>
      </c>
      <c r="H17">
        <v>-12</v>
      </c>
      <c r="J17">
        <v>1</v>
      </c>
      <c r="M17">
        <v>1</v>
      </c>
      <c r="P17">
        <f>SUM(Q17:AE17)</f>
        <v>1</v>
      </c>
      <c r="W17">
        <v>1</v>
      </c>
      <c r="AH17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zoomScale="150" zoomScaleNormal="150" workbookViewId="0">
      <selection activeCell="C17" sqref="C17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105</v>
      </c>
      <c r="B1" s="2" t="s">
        <v>106</v>
      </c>
      <c r="C1" t="s">
        <v>107</v>
      </c>
      <c r="D1" t="s">
        <v>108</v>
      </c>
    </row>
    <row r="2" spans="1:4" x14ac:dyDescent="0.3">
      <c r="A2" t="s">
        <v>109</v>
      </c>
      <c r="B2" s="2" t="s">
        <v>132</v>
      </c>
      <c r="C2" t="s">
        <v>111</v>
      </c>
      <c r="D2" t="s">
        <v>110</v>
      </c>
    </row>
    <row r="3" spans="1:4" x14ac:dyDescent="0.3">
      <c r="A3" t="s">
        <v>114</v>
      </c>
      <c r="B3" s="2" t="s">
        <v>321</v>
      </c>
      <c r="C3" t="s">
        <v>115</v>
      </c>
      <c r="D3" t="s">
        <v>116</v>
      </c>
    </row>
    <row r="4" spans="1:4" x14ac:dyDescent="0.3">
      <c r="A4" t="s">
        <v>117</v>
      </c>
      <c r="B4" s="2" t="s">
        <v>322</v>
      </c>
      <c r="C4" t="s">
        <v>118</v>
      </c>
      <c r="D4" t="s">
        <v>119</v>
      </c>
    </row>
    <row r="5" spans="1:4" x14ac:dyDescent="0.3">
      <c r="A5" t="s">
        <v>120</v>
      </c>
      <c r="B5" s="2" t="s">
        <v>132</v>
      </c>
      <c r="C5" t="s">
        <v>125</v>
      </c>
      <c r="D5" t="s">
        <v>121</v>
      </c>
    </row>
    <row r="6" spans="1:4" x14ac:dyDescent="0.3">
      <c r="A6" t="s">
        <v>126</v>
      </c>
      <c r="B6" s="2" t="s">
        <v>322</v>
      </c>
      <c r="C6" t="s">
        <v>127</v>
      </c>
      <c r="D6" t="s">
        <v>128</v>
      </c>
    </row>
    <row r="7" spans="1:4" x14ac:dyDescent="0.3">
      <c r="A7" t="s">
        <v>129</v>
      </c>
      <c r="B7" s="2" t="s">
        <v>323</v>
      </c>
      <c r="C7" t="s">
        <v>130</v>
      </c>
      <c r="D7" t="s">
        <v>131</v>
      </c>
    </row>
    <row r="8" spans="1:4" x14ac:dyDescent="0.3">
      <c r="A8" t="s">
        <v>354</v>
      </c>
      <c r="B8" s="2" t="s">
        <v>356</v>
      </c>
      <c r="C8" t="s">
        <v>355</v>
      </c>
      <c r="D8" t="s">
        <v>435</v>
      </c>
    </row>
    <row r="9" spans="1:4" x14ac:dyDescent="0.3">
      <c r="A9" t="s">
        <v>112</v>
      </c>
      <c r="B9" s="2" t="s">
        <v>437</v>
      </c>
      <c r="C9" t="s">
        <v>497</v>
      </c>
      <c r="D9" t="s">
        <v>438</v>
      </c>
    </row>
    <row r="10" spans="1:4" x14ac:dyDescent="0.3">
      <c r="A10" t="s">
        <v>112</v>
      </c>
      <c r="B10" s="2" t="s">
        <v>437</v>
      </c>
      <c r="C10" t="s">
        <v>497</v>
      </c>
      <c r="D10" t="s">
        <v>438</v>
      </c>
    </row>
    <row r="11" spans="1:4" x14ac:dyDescent="0.3">
      <c r="A11" t="s">
        <v>374</v>
      </c>
      <c r="B11" s="2" t="s">
        <v>375</v>
      </c>
      <c r="C11" t="s">
        <v>376</v>
      </c>
      <c r="D11" t="s">
        <v>377</v>
      </c>
    </row>
    <row r="12" spans="1:4" x14ac:dyDescent="0.3">
      <c r="A12" t="s">
        <v>96</v>
      </c>
      <c r="B12" s="2" t="s">
        <v>132</v>
      </c>
      <c r="C12" t="s">
        <v>495</v>
      </c>
      <c r="D12" t="s">
        <v>496</v>
      </c>
    </row>
    <row r="13" spans="1:4" x14ac:dyDescent="0.3">
      <c r="A13" t="s">
        <v>133</v>
      </c>
      <c r="B13" s="2" t="s">
        <v>320</v>
      </c>
      <c r="C13" t="s">
        <v>378</v>
      </c>
      <c r="D13" t="s">
        <v>381</v>
      </c>
    </row>
    <row r="14" spans="1:4" x14ac:dyDescent="0.3">
      <c r="A14" t="s">
        <v>135</v>
      </c>
      <c r="B14" s="2" t="s">
        <v>320</v>
      </c>
      <c r="C14" t="s">
        <v>379</v>
      </c>
      <c r="D14" t="s">
        <v>382</v>
      </c>
    </row>
    <row r="15" spans="1:4" x14ac:dyDescent="0.3">
      <c r="A15" t="s">
        <v>136</v>
      </c>
      <c r="B15" s="2" t="s">
        <v>320</v>
      </c>
      <c r="C15" t="s">
        <v>380</v>
      </c>
      <c r="D15" t="s">
        <v>383</v>
      </c>
    </row>
    <row r="16" spans="1:4" x14ac:dyDescent="0.3">
      <c r="A16" t="s">
        <v>357</v>
      </c>
      <c r="B16" s="2" t="s">
        <v>356</v>
      </c>
      <c r="C16" t="s">
        <v>498</v>
      </c>
      <c r="D16" t="s">
        <v>436</v>
      </c>
    </row>
    <row r="17" spans="1:4" x14ac:dyDescent="0.3">
      <c r="A17" t="s">
        <v>431</v>
      </c>
      <c r="B17" s="2" t="s">
        <v>432</v>
      </c>
      <c r="C17" t="s">
        <v>434</v>
      </c>
      <c r="D17" t="s">
        <v>433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H7" sqref="H7"/>
    </sheetView>
  </sheetViews>
  <sheetFormatPr defaultRowHeight="14" x14ac:dyDescent="0.3"/>
  <cols>
    <col min="4" max="4" width="26" customWidth="1"/>
  </cols>
  <sheetData>
    <row r="1" spans="1:10" x14ac:dyDescent="0.3">
      <c r="A1" t="s">
        <v>190</v>
      </c>
      <c r="B1" t="s">
        <v>191</v>
      </c>
      <c r="C1" t="s">
        <v>194</v>
      </c>
      <c r="D1" t="s">
        <v>202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192</v>
      </c>
      <c r="B2">
        <v>2</v>
      </c>
      <c r="C2">
        <v>4</v>
      </c>
      <c r="D2" t="s">
        <v>373</v>
      </c>
      <c r="E2" t="s">
        <v>193</v>
      </c>
      <c r="F2" t="s">
        <v>193</v>
      </c>
      <c r="G2" t="s">
        <v>193</v>
      </c>
      <c r="H2" t="s">
        <v>193</v>
      </c>
      <c r="I2" t="s">
        <v>193</v>
      </c>
      <c r="J2" t="s">
        <v>193</v>
      </c>
    </row>
    <row r="3" spans="1:10" x14ac:dyDescent="0.3">
      <c r="A3" t="s">
        <v>203</v>
      </c>
      <c r="B3">
        <v>1</v>
      </c>
      <c r="C3">
        <v>6</v>
      </c>
      <c r="E3" t="s">
        <v>197</v>
      </c>
      <c r="F3" t="s">
        <v>197</v>
      </c>
      <c r="G3" t="s">
        <v>201</v>
      </c>
      <c r="H3" t="s">
        <v>198</v>
      </c>
      <c r="I3" t="s">
        <v>199</v>
      </c>
      <c r="J3" t="s">
        <v>199</v>
      </c>
    </row>
    <row r="4" spans="1:10" x14ac:dyDescent="0.3">
      <c r="A4" t="s">
        <v>195</v>
      </c>
      <c r="B4">
        <v>1</v>
      </c>
      <c r="C4">
        <v>5</v>
      </c>
      <c r="E4" t="s">
        <v>196</v>
      </c>
      <c r="F4" t="s">
        <v>196</v>
      </c>
      <c r="G4" t="s">
        <v>197</v>
      </c>
      <c r="H4" t="s">
        <v>201</v>
      </c>
      <c r="I4" t="s">
        <v>198</v>
      </c>
      <c r="J4" t="s">
        <v>199</v>
      </c>
    </row>
    <row r="5" spans="1:10" x14ac:dyDescent="0.3">
      <c r="A5" t="s">
        <v>200</v>
      </c>
      <c r="B5">
        <v>1</v>
      </c>
      <c r="C5">
        <v>7</v>
      </c>
      <c r="E5" t="s">
        <v>197</v>
      </c>
      <c r="F5" t="s">
        <v>197</v>
      </c>
      <c r="G5" t="s">
        <v>196</v>
      </c>
      <c r="H5" t="s">
        <v>201</v>
      </c>
      <c r="I5" t="s">
        <v>201</v>
      </c>
      <c r="J5" t="s">
        <v>198</v>
      </c>
    </row>
    <row r="6" spans="1:10" x14ac:dyDescent="0.3">
      <c r="A6" t="s">
        <v>204</v>
      </c>
      <c r="B6">
        <v>1</v>
      </c>
      <c r="C6">
        <v>5</v>
      </c>
      <c r="E6" t="s">
        <v>197</v>
      </c>
      <c r="F6" t="s">
        <v>196</v>
      </c>
      <c r="G6" t="s">
        <v>199</v>
      </c>
      <c r="H6" t="s">
        <v>199</v>
      </c>
      <c r="I6" t="s">
        <v>198</v>
      </c>
      <c r="J6" t="s">
        <v>198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后备</vt:lpstr>
      <vt:lpstr>目标牌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2026-06-10T00:36:02Z</dcterms:modified>
</cp:coreProperties>
</file>